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hidePivotFieldList="1" defaultThemeVersion="124226"/>
  <xr:revisionPtr revIDLastSave="0" documentId="13_ncr:1_{4322D22C-05F1-40D4-80B0-548C1448CCA0}" xr6:coauthVersionLast="47" xr6:coauthVersionMax="47" xr10:uidLastSave="{00000000-0000-0000-0000-000000000000}"/>
  <bookViews>
    <workbookView minimized="1" xWindow="1860" yWindow="1860" windowWidth="15375" windowHeight="7875" activeTab="1" xr2:uid="{00000000-000D-0000-FFFF-FFFF00000000}"/>
  </bookViews>
  <sheets>
    <sheet name="Sheet1" sheetId="1" r:id="rId1"/>
    <sheet name="Sheet2" sheetId="2" r:id="rId2"/>
  </sheets>
  <definedNames>
    <definedName name="_xlchart.v1.0" hidden="1">Sheet1!$I$38:$I$47</definedName>
    <definedName name="_xlchart.v1.1" hidden="1">Sheet1!$J$38:$J$47</definedName>
    <definedName name="Slicer_Time_Slot">#N/A</definedName>
  </definedNames>
  <calcPr calcId="191029"/>
  <pivotCaches>
    <pivotCache cacheId="221" r:id="rId3"/>
    <pivotCache cacheId="224" r:id="rId4"/>
    <pivotCache cacheId="227" r:id="rId5"/>
    <pivotCache cacheId="230" r:id="rId6"/>
    <pivotCache cacheId="233" r:id="rId7"/>
    <pivotCache cacheId="236" r:id="rId8"/>
    <pivotCache cacheId="239" r:id="rId9"/>
  </pivotCaches>
  <extLst>
    <ext xmlns:x14="http://schemas.microsoft.com/office/spreadsheetml/2009/9/main" uri="{876F7934-8845-4945-9796-88D515C7AA90}">
      <x14:pivotCaches>
        <pivotCache cacheId="218"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nu item_14f07d16-66dc-46f4-a7ef-c8a3bd3db2a7" name="menu item" connection="Query - menu item"/>
          <x15:modelTable id="order detail_09438b21-e017-4a2d-a2e2-78639acf6000" name="order detail" connection="Query - order detail"/>
        </x15:modelTables>
        <x15:modelRelationships>
          <x15:modelRelationship fromTable="order detail" fromColumn="item_id" toTable="menu item"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44D4E7-17CC-4297-A568-BD5DFE84E3BE}" name="Query - menu item" description="Connection to the 'menu item' query in the workbook." type="100" refreshedVersion="8" minRefreshableVersion="5">
    <extLst>
      <ext xmlns:x15="http://schemas.microsoft.com/office/spreadsheetml/2010/11/main" uri="{DE250136-89BD-433C-8126-D09CA5730AF9}">
        <x15:connection id="9801b1e7-e565-4257-a18d-e453687aa6d9"/>
      </ext>
    </extLst>
  </connection>
  <connection id="2" xr16:uid="{FF83B73E-79C6-44C6-A511-3D7CCA09903D}" name="Query - order detail" description="Connection to the 'order detail' query in the workbook." type="100" refreshedVersion="8" minRefreshableVersion="5">
    <extLst>
      <ext xmlns:x15="http://schemas.microsoft.com/office/spreadsheetml/2010/11/main" uri="{DE250136-89BD-433C-8126-D09CA5730AF9}">
        <x15:connection id="1e0fe876-8afe-48cc-ad1e-56595cb71c10"/>
      </ext>
    </extLst>
  </connection>
  <connection id="3" xr16:uid="{660A585F-C11D-46AC-84F4-55702E08F1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<sst xmlns="http://schemas.openxmlformats.org/spreadsheetml/2006/main" count="85" uniqueCount="55">
  <si>
    <t>Row Labels</t>
  </si>
  <si>
    <t>Angus Third Pounder</t>
  </si>
  <si>
    <t>Apple Slices</t>
  </si>
  <si>
    <t>Bacon Clubhouse Burger</t>
  </si>
  <si>
    <t>Big Mac</t>
  </si>
  <si>
    <t>Breakfast Burrito</t>
  </si>
  <si>
    <t>Bulgogi Burger</t>
  </si>
  <si>
    <t>Cheesy Bacon Fries</t>
  </si>
  <si>
    <t>Chicken Alfredo Pasta</t>
  </si>
  <si>
    <t>Chicken McNuggets (10-piece)</t>
  </si>
  <si>
    <t>Chicken McNuggets (6-piece)</t>
  </si>
  <si>
    <t>Chicken Parm Sandwich</t>
  </si>
  <si>
    <t>Chicken Snack Wrap</t>
  </si>
  <si>
    <t>Chocolate Shake (Large)</t>
  </si>
  <si>
    <t>Double Cheeseburger</t>
  </si>
  <si>
    <t>Filet-O-Fish</t>
  </si>
  <si>
    <t>French Fries (Large)</t>
  </si>
  <si>
    <t>Grilled Chicken Caesar Salad</t>
  </si>
  <si>
    <t>Guacamole Chicken Burger</t>
  </si>
  <si>
    <t>McChicken</t>
  </si>
  <si>
    <t>McDouble</t>
  </si>
  <si>
    <t>McLobster Roll</t>
  </si>
  <si>
    <t>McPlant</t>
  </si>
  <si>
    <t>Meatball Marinara</t>
  </si>
  <si>
    <t>Mozzarella Sticks</t>
  </si>
  <si>
    <t>Quarter Pounder with Cheese</t>
  </si>
  <si>
    <t>Side Salad</t>
  </si>
  <si>
    <t>Spaghetti Bolognese</t>
  </si>
  <si>
    <t>Spicy Chicken McWrap</t>
  </si>
  <si>
    <t>Steak &amp; Cheese McWrap</t>
  </si>
  <si>
    <t>Sweet and Sour Chicken McNuggets (6-piece)</t>
  </si>
  <si>
    <t>Teriyaki Chicken Sandwich</t>
  </si>
  <si>
    <t>Veggie Deluxe</t>
  </si>
  <si>
    <t>Grand Total</t>
  </si>
  <si>
    <t>weekend</t>
  </si>
  <si>
    <t>workday</t>
  </si>
  <si>
    <t>Breakfast</t>
  </si>
  <si>
    <t>Burger</t>
  </si>
  <si>
    <t>Chicken</t>
  </si>
  <si>
    <t>Fries</t>
  </si>
  <si>
    <t>Pasta</t>
  </si>
  <si>
    <t>Salad</t>
  </si>
  <si>
    <t>Sandwich</t>
  </si>
  <si>
    <t>Shakes</t>
  </si>
  <si>
    <t>Sides</t>
  </si>
  <si>
    <t>Wraps</t>
  </si>
  <si>
    <t>sales</t>
  </si>
  <si>
    <t>February</t>
  </si>
  <si>
    <t>January</t>
  </si>
  <si>
    <t>March</t>
  </si>
  <si>
    <t>Avg order value</t>
  </si>
  <si>
    <t>avg order per day</t>
  </si>
  <si>
    <t>Distinct Count of order_id</t>
  </si>
  <si>
    <t>Afternoon</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</si>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</sst>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C00000"/>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right/>
      <top style="thin">
        <color theme="4" tint="-0.249977111117893"/>
      </top>
      <bottom style="medium">
        <color theme="4" tint="-0.249977111117893"/>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2" fillId="0" borderId="1" xfId="0" applyNumberFormat="1" applyFont="1" applyBorder="1"/>
    <xf numFmtId="164" fontId="0" fillId="0" borderId="0" xfId="1" applyNumberFormat="1" applyFont="1"/>
    <xf numFmtId="0" fontId="3" fillId="0" borderId="0" xfId="0" applyFont="1" applyFill="1"/>
    <xf numFmtId="164" fontId="0" fillId="2" borderId="0" xfId="0" applyNumberFormat="1" applyFill="1"/>
    <xf numFmtId="0" fontId="0" fillId="2" borderId="0" xfId="0" applyFill="1"/>
    <xf numFmtId="164" fontId="0" fillId="2" borderId="0" xfId="1" applyNumberFormat="1" applyFont="1" applyFill="1"/>
    <xf numFmtId="0" fontId="0" fillId="0" borderId="0" xfId="0" applyFont="1" applyAlignment="1">
      <alignment horizontal="left"/>
    </xf>
    <xf numFmtId="164" fontId="0" fillId="0" borderId="0" xfId="0" applyNumberFormat="1" applyFont="1"/>
  </cellXfs>
  <cellStyles count="2">
    <cellStyle name="Currency" xfId="1" builtinId="4"/>
    <cellStyle name="Normal" xfId="0" builtinId="0"/>
  </cellStyles>
  <dxfs count="2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i val="0"/>
        <color theme="0"/>
      </font>
      <fill>
        <patternFill>
          <bgColor rgb="FFC00000"/>
        </patternFill>
      </fill>
    </dxf>
    <dxf>
      <fill>
        <patternFill patternType="solid">
          <fgColor auto="1"/>
          <bgColor rgb="FFC00000"/>
        </patternFill>
      </fill>
    </dxf>
  </dxfs>
  <tableStyles count="1" defaultTableStyle="TableStyleMedium2" defaultPivotStyle="PivotStyleMedium9">
    <tableStyle name="Slicer Style 1" pivot="0" table="0" count="4" xr9:uid="{1126D8B3-176F-494B-822E-D068D91E4BDD}">
      <tableStyleElement type="wholeTable" dxfId="25"/>
      <tableStyleElement type="headerRow" dxfId="24"/>
    </tableStyle>
  </tableStyles>
  <colors>
    <mruColors>
      <color rgb="FFDA291C"/>
      <color rgb="FFA5321B"/>
    </mruColors>
  </colors>
  <extLst>
    <ext xmlns:x14="http://schemas.microsoft.com/office/spreadsheetml/2009/9/main" uri="{46F421CA-312F-682f-3DD2-61675219B42D}">
      <x14:dxfs count="2">
        <dxf>
          <font>
            <b/>
            <i val="0"/>
            <color theme="0"/>
          </font>
          <fill>
            <patternFill>
              <bgColor rgb="FFFF0000"/>
            </patternFill>
          </fill>
        </dxf>
        <dxf>
          <font>
            <b/>
            <i val="0"/>
            <color theme="0"/>
          </font>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[burgerfry.xlsx]Sheet1!PivotTable2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A291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0378002375561"/>
          <c:y val="0.14202529768524699"/>
          <c:w val="0.6633449256342957"/>
          <c:h val="0.72088764946048411"/>
        </c:manualLayout>
      </c:layout>
      <c:barChart>
        <c:barDir val="bar"/>
        <c:grouping val="clustered"/>
        <c:varyColors val="0"/>
        <c:ser>
          <c:idx val="0"/>
          <c:order val="0"/>
          <c:tx>
            <c:strRef>
              <c:f>Sheet1!$G$30</c:f>
              <c:strCache>
                <c:ptCount val="1"/>
                <c:pt idx="0">
                  <c:v>Total</c:v>
                </c:pt>
              </c:strCache>
            </c:strRef>
          </c:tx>
          <c:spPr>
            <a:solidFill>
              <a:srgbClr val="DA291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Sheet1!$F$31:$F$33</c:f>
              <c:strCache>
                <c:ptCount val="2"/>
                <c:pt idx="0">
                  <c:v>weekend</c:v>
                </c:pt>
                <c:pt idx="1">
                  <c:v>workday</c:v>
                </c:pt>
              </c:strCache>
            </c:strRef>
          </c:cat>
          <c:val>
            <c:numRef>
              <c:f>Sheet1!$G$31:$G$33</c:f>
              <c:numCache>
                <c:formatCode>_-[$$-409]* #,##0.00_ ;_-[$$-409]* \-#,##0.00\ ;_-[$$-409]* "-"??_ ;_-@_ </c:formatCode>
                <c:ptCount val="2"/>
                <c:pt idx="0">
                  <c:v>8883.2499999998454</c:v>
                </c:pt>
                <c:pt idx="1">
                  <c:v>21183.409999999869</c:v>
                </c:pt>
              </c:numCache>
            </c:numRef>
          </c:val>
          <c:extLst>
            <c:ext xmlns:c16="http://schemas.microsoft.com/office/drawing/2014/chart" uri="{C3380CC4-5D6E-409C-BE32-E72D297353CC}">
              <c16:uniqueId val="{00000000-2F13-429F-9C72-C548C61A4258}"/>
            </c:ext>
          </c:extLst>
        </c:ser>
        <c:dLbls>
          <c:showLegendKey val="0"/>
          <c:showVal val="0"/>
          <c:showCatName val="0"/>
          <c:showSerName val="0"/>
          <c:showPercent val="0"/>
          <c:showBubbleSize val="0"/>
        </c:dLbls>
        <c:gapWidth val="115"/>
        <c:overlap val="-20"/>
        <c:axId val="172083808"/>
        <c:axId val="172087648"/>
      </c:barChart>
      <c:catAx>
        <c:axId val="172083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72087648"/>
        <c:crosses val="autoZero"/>
        <c:auto val="1"/>
        <c:lblAlgn val="ctr"/>
        <c:lblOffset val="100"/>
        <c:noMultiLvlLbl val="0"/>
      </c:catAx>
      <c:valAx>
        <c:axId val="172087648"/>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7208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alpha val="99000"/>
      </a:srgbClr>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[burgerfry.xlsx]Sheet1!PivotTable4</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oftEdge rad="241300"/>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Sheet1!$B$39</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Sheet1!$A$40:$A$43</c:f>
              <c:strCache>
                <c:ptCount val="3"/>
                <c:pt idx="0">
                  <c:v>February</c:v>
                </c:pt>
                <c:pt idx="1">
                  <c:v>January</c:v>
                </c:pt>
                <c:pt idx="2">
                  <c:v>March</c:v>
                </c:pt>
              </c:strCache>
            </c:strRef>
          </c:cat>
          <c:val>
            <c:numRef>
              <c:f>Sheet1!$B$40:$B$43</c:f>
              <c:numCache>
                <c:formatCode>_-[$$-409]* #,##0.00_ ;_-[$$-409]* \-#,##0.00\ ;_-[$$-409]* "-"??_ ;_-@_ </c:formatCode>
                <c:ptCount val="3"/>
                <c:pt idx="0">
                  <c:v>9156.7699999999022</c:v>
                </c:pt>
                <c:pt idx="1">
                  <c:v>10213.799999999901</c:v>
                </c:pt>
                <c:pt idx="2">
                  <c:v>10696.089999999876</c:v>
                </c:pt>
              </c:numCache>
            </c:numRef>
          </c:val>
          <c:extLst>
            <c:ext xmlns:c16="http://schemas.microsoft.com/office/drawing/2014/chart" uri="{C3380CC4-5D6E-409C-BE32-E72D297353CC}">
              <c16:uniqueId val="{00000000-9E84-4DE2-8983-6C0911C75A52}"/>
            </c:ext>
          </c:extLst>
        </c:ser>
        <c:dLbls>
          <c:dLblPos val="outEnd"/>
          <c:showLegendKey val="0"/>
          <c:showVal val="1"/>
          <c:showCatName val="0"/>
          <c:showSerName val="0"/>
          <c:showPercent val="0"/>
          <c:showBubbleSize val="0"/>
        </c:dLbls>
        <c:gapWidth val="100"/>
        <c:overlap val="-24"/>
        <c:axId val="745981328"/>
        <c:axId val="745982288"/>
      </c:barChart>
      <c:catAx>
        <c:axId val="7459813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745982288"/>
        <c:crosses val="autoZero"/>
        <c:auto val="1"/>
        <c:lblAlgn val="ctr"/>
        <c:lblOffset val="100"/>
        <c:noMultiLvlLbl val="0"/>
      </c:catAx>
      <c:valAx>
        <c:axId val="745982288"/>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74598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[burgerfry.xlsx]Sheet1!PivotTable8</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Sheet1!$C$46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D-4206-AF3E-C0FEA8BFF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D-4206-AF3E-C0FEA8BFF5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0D-4206-AF3E-C0FEA8BFF5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0D-4206-AF3E-C0FEA8BFF5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0D-4206-AF3E-C0FEA8BFF5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Sheet1!$B$47:$B$52</c:f>
              <c:strCache>
                <c:ptCount val="5"/>
                <c:pt idx="0">
                  <c:v>Burger</c:v>
                </c:pt>
                <c:pt idx="1">
                  <c:v>Chicken</c:v>
                </c:pt>
                <c:pt idx="2">
                  <c:v>Pasta</c:v>
                </c:pt>
                <c:pt idx="3">
                  <c:v>Sandwich</c:v>
                </c:pt>
                <c:pt idx="4">
                  <c:v>Sides</c:v>
                </c:pt>
              </c:strCache>
            </c:strRef>
          </c:cat>
          <c:val>
            <c:numRef>
              <c:f>Sheet1!$C$47:$C$52</c:f>
              <c:numCache>
                <c:formatCode>_-[$$-409]* #,##0.00_ ;_-[$$-409]* \-#,##0.00\ ;_-[$$-409]* "-"??_ ;_-@_ </c:formatCode>
                <c:ptCount val="5"/>
                <c:pt idx="0">
                  <c:v>10622.309999999834</c:v>
                </c:pt>
                <c:pt idx="1">
                  <c:v>6014.6999999998643</c:v>
                </c:pt>
                <c:pt idx="2">
                  <c:v>4500.6599999999389</c:v>
                </c:pt>
                <c:pt idx="3">
                  <c:v>4050.4999999999682</c:v>
                </c:pt>
                <c:pt idx="4">
                  <c:v>1339.840000000004</c:v>
                </c:pt>
              </c:numCache>
            </c:numRef>
          </c:val>
          <c:extLst>
            <c:ext xmlns:c16="http://schemas.microsoft.com/office/drawing/2014/chart" uri="{C3380CC4-5D6E-409C-BE32-E72D297353CC}">
              <c16:uniqueId val="{0000000A-1361-4431-BDBB-B98878E419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034701382332934"/>
          <c:y val="3.8064007431169868E-2"/>
          <c:w val="0.25709411440505886"/>
          <c:h val="0.94033245844269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lang="en-US" sz="1000" b="0" i="0" u="none" strike="noStrike" kern="1200" baseline="0">
              <a:solidFill>
                <a:schemeClr val="dk1"/>
              </a:solidFill>
              <a:latin typeface="+mn-lt"/>
              <a:ea typeface="+mn-ea"/>
              <a:cs typeface="+mn-cs"/>
            </a:defRPr>
          </a:pPr>
          <a:r>
            <a:rPr lang="en-US" sz="1400" b="1" i="0" u="none" strike="noStrike" kern="1200" baseline="0">
              <a:solidFill>
                <a:schemeClr val="bg1"/>
              </a:solidFill>
              <a:latin typeface="+mn-lt"/>
              <a:ea typeface="+mn-ea"/>
              <a:cs typeface="+mn-cs"/>
            </a:rPr>
            <a:t>Sales by category</a:t>
          </a:r>
        </a:p>
      </cx:txPr>
    </cx:title>
    <cx:plotArea>
      <cx:plotAreaRegion>
        <cx:series layoutId="treemap" uniqueId="{0F72B65F-D906-46C9-A6C1-838D56823CE2}">
          <cx:dataLabels pos="inEnd">
            <cx:txPr>
              <a:bodyPr vertOverflow="overflow" horzOverflow="overflow" wrap="square" lIns="0" tIns="0" rIns="0" bIns="0"/>
              <a:lstStyle/>
              <a:p>
                <a:pPr algn="ctr" rtl="0">
                  <a:defRPr lang="en-US" sz="1000" b="0" i="0" u="none" strike="noStrike" kern="1200" baseline="0">
                    <a:solidFill>
                      <a:schemeClr val="dk1"/>
                    </a:solidFill>
                    <a:latin typeface="+mn-lt"/>
                    <a:ea typeface="+mn-ea"/>
                    <a:cs typeface="+mn-cs"/>
                  </a:defRPr>
                </a:pPr>
                <a:endParaRPr lang="en-US" sz="1000" b="0" i="0" u="none" strike="noStrike" kern="1200" baseline="0">
                  <a:solidFill>
                    <a:schemeClr val="dk1"/>
                  </a:solidFill>
                  <a:latin typeface="+mn-lt"/>
                  <a:ea typeface="+mn-ea"/>
                  <a:cs typeface="+mn-cs"/>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lang="en-US" sz="1000" b="0" i="0" u="none" strike="noStrike" kern="1200" baseline="0">
              <a:solidFill>
                <a:schemeClr val="dk1"/>
              </a:solidFill>
              <a:latin typeface="+mn-lt"/>
              <a:ea typeface="+mn-ea"/>
              <a:cs typeface="+mn-cs"/>
            </a:defRPr>
          </a:pPr>
          <a:endParaRPr lang="en-US" sz="1000" b="0" i="0" u="none" strike="noStrike" kern="1200" baseline="0">
            <a:solidFill>
              <a:schemeClr val="dk1"/>
            </a:solidFill>
            <a:latin typeface="+mn-lt"/>
            <a:ea typeface="+mn-ea"/>
            <a:cs typeface="+mn-cs"/>
          </a:endParaRPr>
        </a:p>
      </cx:txPr>
    </cx:legend>
  </cx:chart>
  <cx:spPr>
    <a:solidFill>
      <a:srgbClr val="FFC000"/>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Sheet1!A1"/><Relationship Id="rId4" Type="http://schemas.openxmlformats.org/officeDocument/2006/relationships/image" Target="../media/image2.sv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47625</xdr:colOff>
      <xdr:row>4</xdr:row>
      <xdr:rowOff>28574</xdr:rowOff>
    </xdr:from>
    <xdr:to>
      <xdr:col>4</xdr:col>
      <xdr:colOff>533400</xdr:colOff>
      <xdr:row>8</xdr:row>
      <xdr:rowOff>19050</xdr:rowOff>
    </xdr:to>
    <xdr:sp macro="" textlink="">
      <xdr:nvSpPr>
        <xdr:cNvPr id="2" name="Rectangle: Rounded Corners 1">
          <a:extLst>
            <a:ext uri="{FF2B5EF4-FFF2-40B4-BE49-F238E27FC236}">
              <a16:creationId xmlns:a16="http://schemas.microsoft.com/office/drawing/2014/main" id="{2A8E943E-E5F1-23C4-BC34-A8600D3FAD6B}"/>
            </a:ext>
          </a:extLst>
        </xdr:cNvPr>
        <xdr:cNvSpPr/>
      </xdr:nvSpPr>
      <xdr:spPr>
        <a:xfrm>
          <a:off x="47625" y="790574"/>
          <a:ext cx="2924175" cy="752476"/>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 </a:t>
          </a:r>
        </a:p>
      </xdr:txBody>
    </xdr:sp>
    <xdr:clientData/>
  </xdr:twoCellAnchor>
  <xdr:twoCellAnchor>
    <xdr:from>
      <xdr:col>0</xdr:col>
      <xdr:colOff>536551</xdr:colOff>
      <xdr:row>4</xdr:row>
      <xdr:rowOff>85726</xdr:rowOff>
    </xdr:from>
    <xdr:to>
      <xdr:col>4</xdr:col>
      <xdr:colOff>542925</xdr:colOff>
      <xdr:row>7</xdr:row>
      <xdr:rowOff>180976</xdr:rowOff>
    </xdr:to>
    <xdr:sp macro="" textlink="Sheet1!B34">
      <xdr:nvSpPr>
        <xdr:cNvPr id="3" name="TextBox 2">
          <a:extLst>
            <a:ext uri="{FF2B5EF4-FFF2-40B4-BE49-F238E27FC236}">
              <a16:creationId xmlns:a16="http://schemas.microsoft.com/office/drawing/2014/main" id="{E673E015-9FCF-2492-E13D-D3F401A9C5DE}"/>
            </a:ext>
          </a:extLst>
        </xdr:cNvPr>
        <xdr:cNvSpPr txBox="1"/>
      </xdr:nvSpPr>
      <xdr:spPr>
        <a:xfrm>
          <a:off x="536551" y="847726"/>
          <a:ext cx="2444774"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C29943-BD7A-45EE-A02E-E31C3782720F}" type="TxLink">
            <a:rPr lang="en-US" sz="2400" b="1" i="0" u="none" strike="noStrike" baseline="0">
              <a:solidFill>
                <a:schemeClr val="bg1"/>
              </a:solidFill>
              <a:latin typeface="Calibri"/>
              <a:cs typeface="Calibri"/>
            </a:rPr>
            <a:pPr algn="ctr"/>
            <a:t> $30,066.66 </a:t>
          </a:fld>
          <a:endParaRPr lang="en-IN" sz="2400" b="1">
            <a:solidFill>
              <a:schemeClr val="bg1"/>
            </a:solidFill>
          </a:endParaRPr>
        </a:p>
      </xdr:txBody>
    </xdr:sp>
    <xdr:clientData/>
  </xdr:twoCellAnchor>
  <xdr:twoCellAnchor>
    <xdr:from>
      <xdr:col>0</xdr:col>
      <xdr:colOff>38098</xdr:colOff>
      <xdr:row>8</xdr:row>
      <xdr:rowOff>57151</xdr:rowOff>
    </xdr:from>
    <xdr:to>
      <xdr:col>9</xdr:col>
      <xdr:colOff>571499</xdr:colOff>
      <xdr:row>19</xdr:row>
      <xdr:rowOff>114301</xdr:rowOff>
    </xdr:to>
    <xdr:graphicFrame macro="">
      <xdr:nvGraphicFramePr>
        <xdr:cNvPr id="5" name="Chart 4">
          <a:extLst>
            <a:ext uri="{FF2B5EF4-FFF2-40B4-BE49-F238E27FC236}">
              <a16:creationId xmlns:a16="http://schemas.microsoft.com/office/drawing/2014/main" id="{590D3B36-637B-41D1-A961-1163C396E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19</xdr:row>
      <xdr:rowOff>142875</xdr:rowOff>
    </xdr:from>
    <xdr:to>
      <xdr:col>9</xdr:col>
      <xdr:colOff>590550</xdr:colOff>
      <xdr:row>31</xdr:row>
      <xdr:rowOff>152400</xdr:rowOff>
    </xdr:to>
    <xdr:graphicFrame macro="">
      <xdr:nvGraphicFramePr>
        <xdr:cNvPr id="10" name="Chart 9">
          <a:extLst>
            <a:ext uri="{FF2B5EF4-FFF2-40B4-BE49-F238E27FC236}">
              <a16:creationId xmlns:a16="http://schemas.microsoft.com/office/drawing/2014/main" id="{B6C1770B-C868-4F5E-8512-6A471A6B5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0</xdr:row>
      <xdr:rowOff>0</xdr:rowOff>
    </xdr:from>
    <xdr:to>
      <xdr:col>20</xdr:col>
      <xdr:colOff>9525</xdr:colOff>
      <xdr:row>3</xdr:row>
      <xdr:rowOff>180975</xdr:rowOff>
    </xdr:to>
    <xdr:sp macro="" textlink="">
      <xdr:nvSpPr>
        <xdr:cNvPr id="15" name="Rectangle 14">
          <a:extLst>
            <a:ext uri="{FF2B5EF4-FFF2-40B4-BE49-F238E27FC236}">
              <a16:creationId xmlns:a16="http://schemas.microsoft.com/office/drawing/2014/main" id="{1080F182-C7C7-A0AE-4ED1-8D463A814240}"/>
            </a:ext>
          </a:extLst>
        </xdr:cNvPr>
        <xdr:cNvSpPr/>
      </xdr:nvSpPr>
      <xdr:spPr>
        <a:xfrm>
          <a:off x="19050" y="0"/>
          <a:ext cx="12182475" cy="752475"/>
        </a:xfrm>
        <a:prstGeom prst="rect">
          <a:avLst/>
        </a:prstGeom>
        <a:solidFill>
          <a:srgbClr val="C0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200" b="1">
              <a:solidFill>
                <a:schemeClr val="bg1"/>
              </a:solidFill>
            </a:rPr>
            <a:t>            </a:t>
          </a:r>
          <a:r>
            <a:rPr lang="en-IN" sz="3200" b="1" baseline="0">
              <a:solidFill>
                <a:schemeClr val="bg1"/>
              </a:solidFill>
            </a:rPr>
            <a:t>              S A L E S  D A S H B O A R D |</a:t>
          </a:r>
          <a:endParaRPr lang="en-IN" sz="3200" b="0">
            <a:solidFill>
              <a:schemeClr val="bg1"/>
            </a:solidFill>
          </a:endParaRPr>
        </a:p>
      </xdr:txBody>
    </xdr:sp>
    <xdr:clientData/>
  </xdr:twoCellAnchor>
  <xdr:twoCellAnchor>
    <xdr:from>
      <xdr:col>0</xdr:col>
      <xdr:colOff>171450</xdr:colOff>
      <xdr:row>4</xdr:row>
      <xdr:rowOff>104776</xdr:rowOff>
    </xdr:from>
    <xdr:to>
      <xdr:col>1</xdr:col>
      <xdr:colOff>200025</xdr:colOff>
      <xdr:row>7</xdr:row>
      <xdr:rowOff>142876</xdr:rowOff>
    </xdr:to>
    <xdr:grpSp>
      <xdr:nvGrpSpPr>
        <xdr:cNvPr id="7" name="Group 6">
          <a:extLst>
            <a:ext uri="{FF2B5EF4-FFF2-40B4-BE49-F238E27FC236}">
              <a16:creationId xmlns:a16="http://schemas.microsoft.com/office/drawing/2014/main" id="{AA03C49F-86DC-6F4D-39F2-E676F5A1D1CE}"/>
            </a:ext>
          </a:extLst>
        </xdr:cNvPr>
        <xdr:cNvGrpSpPr/>
      </xdr:nvGrpSpPr>
      <xdr:grpSpPr>
        <a:xfrm>
          <a:off x="171450" y="866776"/>
          <a:ext cx="638175" cy="609600"/>
          <a:chOff x="419100" y="895351"/>
          <a:chExt cx="638175" cy="609600"/>
        </a:xfrm>
      </xdr:grpSpPr>
      <xdr:sp macro="" textlink="">
        <xdr:nvSpPr>
          <xdr:cNvPr id="20" name="Oval 19">
            <a:extLst>
              <a:ext uri="{FF2B5EF4-FFF2-40B4-BE49-F238E27FC236}">
                <a16:creationId xmlns:a16="http://schemas.microsoft.com/office/drawing/2014/main" id="{5C63B9BD-3B8A-F6F0-73DE-B08DA4DC49DE}"/>
              </a:ext>
            </a:extLst>
          </xdr:cNvPr>
          <xdr:cNvSpPr/>
        </xdr:nvSpPr>
        <xdr:spPr>
          <a:xfrm>
            <a:off x="419100" y="895351"/>
            <a:ext cx="638175" cy="609600"/>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Graphic 18" descr="Bar graph with upward trend with solid fill">
            <a:extLst>
              <a:ext uri="{FF2B5EF4-FFF2-40B4-BE49-F238E27FC236}">
                <a16:creationId xmlns:a16="http://schemas.microsoft.com/office/drawing/2014/main" id="{8018CF4C-D1C1-A76B-5D2E-2CA351054F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6725" y="962025"/>
            <a:ext cx="485775" cy="485775"/>
          </a:xfrm>
          <a:prstGeom prst="rect">
            <a:avLst/>
          </a:prstGeom>
        </xdr:spPr>
      </xdr:pic>
    </xdr:grpSp>
    <xdr:clientData/>
  </xdr:twoCellAnchor>
  <xdr:twoCellAnchor>
    <xdr:from>
      <xdr:col>10</xdr:col>
      <xdr:colOff>28576</xdr:colOff>
      <xdr:row>4</xdr:row>
      <xdr:rowOff>0</xdr:rowOff>
    </xdr:from>
    <xdr:to>
      <xdr:col>15</xdr:col>
      <xdr:colOff>9526</xdr:colOff>
      <xdr:row>8</xdr:row>
      <xdr:rowOff>47625</xdr:rowOff>
    </xdr:to>
    <xdr:grpSp>
      <xdr:nvGrpSpPr>
        <xdr:cNvPr id="16" name="Group 15">
          <a:extLst>
            <a:ext uri="{FF2B5EF4-FFF2-40B4-BE49-F238E27FC236}">
              <a16:creationId xmlns:a16="http://schemas.microsoft.com/office/drawing/2014/main" id="{E045E5F9-7B6E-9B9F-2539-01349C95222E}"/>
            </a:ext>
          </a:extLst>
        </xdr:cNvPr>
        <xdr:cNvGrpSpPr/>
      </xdr:nvGrpSpPr>
      <xdr:grpSpPr>
        <a:xfrm>
          <a:off x="6124576" y="762000"/>
          <a:ext cx="3028950" cy="809625"/>
          <a:chOff x="3419475" y="2019300"/>
          <a:chExt cx="3305175" cy="885826"/>
        </a:xfrm>
      </xdr:grpSpPr>
      <xdr:sp macro="" textlink="Sheet1!$G$3">
        <xdr:nvSpPr>
          <xdr:cNvPr id="8" name="Rectangle: Rounded Corners 7">
            <a:extLst>
              <a:ext uri="{FF2B5EF4-FFF2-40B4-BE49-F238E27FC236}">
                <a16:creationId xmlns:a16="http://schemas.microsoft.com/office/drawing/2014/main" id="{4E752100-610B-4F9B-A8B6-80647FE38C88}"/>
              </a:ext>
            </a:extLst>
          </xdr:cNvPr>
          <xdr:cNvSpPr/>
        </xdr:nvSpPr>
        <xdr:spPr>
          <a:xfrm>
            <a:off x="3419475" y="2047876"/>
            <a:ext cx="3305175" cy="85725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5AB773-CD25-4B1F-BB57-C90D25E24F75}" type="TxLink">
              <a:rPr lang="en-US" sz="2400" b="1" i="0" u="none" strike="noStrike">
                <a:solidFill>
                  <a:schemeClr val="bg1"/>
                </a:solidFill>
                <a:latin typeface="Calibri"/>
                <a:cs typeface="Calibri"/>
              </a:rPr>
              <a:pPr algn="ctr"/>
              <a:t> $24.50 </a:t>
            </a:fld>
            <a:endParaRPr lang="en-IN" sz="2400" b="1">
              <a:solidFill>
                <a:schemeClr val="bg1"/>
              </a:solidFill>
            </a:endParaRPr>
          </a:p>
        </xdr:txBody>
      </xdr:sp>
      <xdr:sp macro="" textlink="">
        <xdr:nvSpPr>
          <xdr:cNvPr id="9" name="TextBox 8">
            <a:extLst>
              <a:ext uri="{FF2B5EF4-FFF2-40B4-BE49-F238E27FC236}">
                <a16:creationId xmlns:a16="http://schemas.microsoft.com/office/drawing/2014/main" id="{6FE85C15-0CCB-6523-63CA-AB9EE497599B}"/>
              </a:ext>
            </a:extLst>
          </xdr:cNvPr>
          <xdr:cNvSpPr txBox="1"/>
        </xdr:nvSpPr>
        <xdr:spPr>
          <a:xfrm>
            <a:off x="4532793" y="2019300"/>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AVG ORDER VALUE</a:t>
            </a:r>
          </a:p>
        </xdr:txBody>
      </xdr:sp>
      <xdr:sp macro="" textlink="">
        <xdr:nvSpPr>
          <xdr:cNvPr id="28" name="Oval 27">
            <a:extLst>
              <a:ext uri="{FF2B5EF4-FFF2-40B4-BE49-F238E27FC236}">
                <a16:creationId xmlns:a16="http://schemas.microsoft.com/office/drawing/2014/main" id="{F0C43EC1-9ACF-4B17-B21E-347593CFD849}"/>
              </a:ext>
            </a:extLst>
          </xdr:cNvPr>
          <xdr:cNvSpPr/>
        </xdr:nvSpPr>
        <xdr:spPr>
          <a:xfrm>
            <a:off x="3543300" y="2095502"/>
            <a:ext cx="771525" cy="752474"/>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t>$</a:t>
            </a:r>
          </a:p>
        </xdr:txBody>
      </xdr:sp>
    </xdr:grpSp>
    <xdr:clientData/>
  </xdr:twoCellAnchor>
  <xdr:twoCellAnchor>
    <xdr:from>
      <xdr:col>5</xdr:col>
      <xdr:colOff>38100</xdr:colOff>
      <xdr:row>4</xdr:row>
      <xdr:rowOff>2</xdr:rowOff>
    </xdr:from>
    <xdr:to>
      <xdr:col>9</xdr:col>
      <xdr:colOff>542927</xdr:colOff>
      <xdr:row>8</xdr:row>
      <xdr:rowOff>19053</xdr:rowOff>
    </xdr:to>
    <xdr:grpSp>
      <xdr:nvGrpSpPr>
        <xdr:cNvPr id="4" name="Group 3">
          <a:extLst>
            <a:ext uri="{FF2B5EF4-FFF2-40B4-BE49-F238E27FC236}">
              <a16:creationId xmlns:a16="http://schemas.microsoft.com/office/drawing/2014/main" id="{FA9DC94F-8FE6-7976-B31F-CCA04F5B8631}"/>
            </a:ext>
          </a:extLst>
        </xdr:cNvPr>
        <xdr:cNvGrpSpPr/>
      </xdr:nvGrpSpPr>
      <xdr:grpSpPr>
        <a:xfrm>
          <a:off x="3086100" y="762002"/>
          <a:ext cx="2943227" cy="781051"/>
          <a:chOff x="76200" y="2005797"/>
          <a:chExt cx="3238500" cy="889803"/>
        </a:xfrm>
      </xdr:grpSpPr>
      <xdr:sp macro="" textlink="Sheet1!K3">
        <xdr:nvSpPr>
          <xdr:cNvPr id="21" name="Rectangle: Rounded Corners 20">
            <a:extLst>
              <a:ext uri="{FF2B5EF4-FFF2-40B4-BE49-F238E27FC236}">
                <a16:creationId xmlns:a16="http://schemas.microsoft.com/office/drawing/2014/main" id="{8BA65C8E-14BE-EF77-FB3C-C54C62ED895E}"/>
              </a:ext>
            </a:extLst>
          </xdr:cNvPr>
          <xdr:cNvSpPr/>
        </xdr:nvSpPr>
        <xdr:spPr>
          <a:xfrm>
            <a:off x="76200" y="2047875"/>
            <a:ext cx="3238500" cy="847725"/>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5CB7DD-23F5-44C1-80DF-20933F98C88E}" type="TxLink">
              <a:rPr lang="en-US" sz="2400" b="1" i="0" u="none" strike="noStrike">
                <a:solidFill>
                  <a:schemeClr val="bg1"/>
                </a:solidFill>
                <a:latin typeface="Calibri"/>
                <a:cs typeface="Calibri"/>
              </a:rPr>
              <a:pPr algn="ctr"/>
              <a:t>2490</a:t>
            </a:fld>
            <a:endParaRPr lang="en-US" sz="2400" b="1">
              <a:solidFill>
                <a:schemeClr val="bg1"/>
              </a:solidFill>
            </a:endParaRPr>
          </a:p>
        </xdr:txBody>
      </xdr:sp>
      <xdr:sp macro="" textlink="">
        <xdr:nvSpPr>
          <xdr:cNvPr id="22" name="TextBox 21">
            <a:extLst>
              <a:ext uri="{FF2B5EF4-FFF2-40B4-BE49-F238E27FC236}">
                <a16:creationId xmlns:a16="http://schemas.microsoft.com/office/drawing/2014/main" id="{A875582F-C4C2-B442-AF49-54605B484E0D}"/>
              </a:ext>
            </a:extLst>
          </xdr:cNvPr>
          <xdr:cNvSpPr txBox="1"/>
        </xdr:nvSpPr>
        <xdr:spPr>
          <a:xfrm>
            <a:off x="1052130" y="2005797"/>
            <a:ext cx="2042477" cy="607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TOTAL   </a:t>
            </a:r>
            <a:r>
              <a:rPr lang="en-IN" sz="1400" b="1" baseline="0">
                <a:solidFill>
                  <a:schemeClr val="bg1"/>
                </a:solidFill>
              </a:rPr>
              <a:t>ORDER</a:t>
            </a:r>
            <a:endParaRPr lang="en-IN" sz="1400" b="1">
              <a:solidFill>
                <a:schemeClr val="bg1"/>
              </a:solidFill>
            </a:endParaRPr>
          </a:p>
        </xdr:txBody>
      </xdr:sp>
      <xdr:sp macro="" textlink="">
        <xdr:nvSpPr>
          <xdr:cNvPr id="26" name="Oval 25">
            <a:extLst>
              <a:ext uri="{FF2B5EF4-FFF2-40B4-BE49-F238E27FC236}">
                <a16:creationId xmlns:a16="http://schemas.microsoft.com/office/drawing/2014/main" id="{E0B8F7C9-8774-43DC-A1A2-4382AD0456DE}"/>
              </a:ext>
            </a:extLst>
          </xdr:cNvPr>
          <xdr:cNvSpPr/>
        </xdr:nvSpPr>
        <xdr:spPr>
          <a:xfrm>
            <a:off x="190500" y="2085977"/>
            <a:ext cx="771525" cy="752474"/>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0" name="Graphic 29" descr="Shopping cart with solid fill">
            <a:extLst>
              <a:ext uri="{FF2B5EF4-FFF2-40B4-BE49-F238E27FC236}">
                <a16:creationId xmlns:a16="http://schemas.microsoft.com/office/drawing/2014/main" id="{842134AD-4E0E-7BAA-94B7-689B9EDD0C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6225" y="2190750"/>
            <a:ext cx="600075" cy="600075"/>
          </a:xfrm>
          <a:prstGeom prst="rect">
            <a:avLst/>
          </a:prstGeom>
        </xdr:spPr>
      </xdr:pic>
    </xdr:grpSp>
    <xdr:clientData/>
  </xdr:twoCellAnchor>
  <xdr:twoCellAnchor>
    <xdr:from>
      <xdr:col>15</xdr:col>
      <xdr:colOff>95250</xdr:colOff>
      <xdr:row>3</xdr:row>
      <xdr:rowOff>152402</xdr:rowOff>
    </xdr:from>
    <xdr:to>
      <xdr:col>20</xdr:col>
      <xdr:colOff>66675</xdr:colOff>
      <xdr:row>8</xdr:row>
      <xdr:rowOff>47627</xdr:rowOff>
    </xdr:to>
    <xdr:grpSp>
      <xdr:nvGrpSpPr>
        <xdr:cNvPr id="23" name="Group 22">
          <a:extLst>
            <a:ext uri="{FF2B5EF4-FFF2-40B4-BE49-F238E27FC236}">
              <a16:creationId xmlns:a16="http://schemas.microsoft.com/office/drawing/2014/main" id="{3073A68D-EC13-C16B-FE98-8CAB25295CDA}"/>
            </a:ext>
          </a:extLst>
        </xdr:cNvPr>
        <xdr:cNvGrpSpPr/>
      </xdr:nvGrpSpPr>
      <xdr:grpSpPr>
        <a:xfrm>
          <a:off x="9239250" y="723902"/>
          <a:ext cx="3019425" cy="847725"/>
          <a:chOff x="6896102" y="1745877"/>
          <a:chExt cx="2640158" cy="873498"/>
        </a:xfrm>
      </xdr:grpSpPr>
      <xdr:sp macro="" textlink="Sheet1!$H$3">
        <xdr:nvSpPr>
          <xdr:cNvPr id="13" name="Rectangle: Rounded Corners 12">
            <a:extLst>
              <a:ext uri="{FF2B5EF4-FFF2-40B4-BE49-F238E27FC236}">
                <a16:creationId xmlns:a16="http://schemas.microsoft.com/office/drawing/2014/main" id="{1CF7FA34-C4F5-4743-86E1-DB34CDBF7D3A}"/>
              </a:ext>
            </a:extLst>
          </xdr:cNvPr>
          <xdr:cNvSpPr/>
        </xdr:nvSpPr>
        <xdr:spPr>
          <a:xfrm>
            <a:off x="6896102" y="1838326"/>
            <a:ext cx="2588727" cy="78104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7F5CA2-CE1B-4B75-9682-5C7D25E576C2}" type="TxLink">
              <a:rPr lang="en-US" sz="2400" b="1" i="0" u="none" strike="noStrike">
                <a:solidFill>
                  <a:schemeClr val="bg1"/>
                </a:solidFill>
                <a:latin typeface="Calibri"/>
                <a:cs typeface="Calibri"/>
              </a:rPr>
              <a:pPr algn="ctr"/>
              <a:t> $334.07 </a:t>
            </a:fld>
            <a:endParaRPr lang="en-IN" sz="2400" b="1">
              <a:solidFill>
                <a:schemeClr val="bg1"/>
              </a:solidFill>
            </a:endParaRPr>
          </a:p>
        </xdr:txBody>
      </xdr:sp>
      <xdr:sp macro="" textlink="">
        <xdr:nvSpPr>
          <xdr:cNvPr id="14" name="TextBox 13">
            <a:extLst>
              <a:ext uri="{FF2B5EF4-FFF2-40B4-BE49-F238E27FC236}">
                <a16:creationId xmlns:a16="http://schemas.microsoft.com/office/drawing/2014/main" id="{567D2209-7681-418C-B463-CE02D204C88E}"/>
              </a:ext>
            </a:extLst>
          </xdr:cNvPr>
          <xdr:cNvSpPr txBox="1"/>
        </xdr:nvSpPr>
        <xdr:spPr>
          <a:xfrm>
            <a:off x="7386138" y="1745877"/>
            <a:ext cx="2150122"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a:t>
            </a:r>
            <a:r>
              <a:rPr lang="en-IN" sz="1400" b="1" baseline="0">
                <a:solidFill>
                  <a:schemeClr val="bg1"/>
                </a:solidFill>
              </a:rPr>
              <a:t> ORDER VALUE PER DAY</a:t>
            </a:r>
            <a:endParaRPr lang="en-IN" sz="1400" b="1">
              <a:solidFill>
                <a:schemeClr val="bg1"/>
              </a:solidFill>
            </a:endParaRPr>
          </a:p>
        </xdr:txBody>
      </xdr:sp>
      <xdr:sp macro="" textlink="">
        <xdr:nvSpPr>
          <xdr:cNvPr id="27" name="Oval 26">
            <a:extLst>
              <a:ext uri="{FF2B5EF4-FFF2-40B4-BE49-F238E27FC236}">
                <a16:creationId xmlns:a16="http://schemas.microsoft.com/office/drawing/2014/main" id="{96FEB30B-2894-4A42-BC11-2245E56B3839}"/>
              </a:ext>
            </a:extLst>
          </xdr:cNvPr>
          <xdr:cNvSpPr/>
        </xdr:nvSpPr>
        <xdr:spPr>
          <a:xfrm>
            <a:off x="6981870" y="1905002"/>
            <a:ext cx="495714" cy="685587"/>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Graphic 31" descr="Daily calendar with solid fill">
            <a:extLst>
              <a:ext uri="{FF2B5EF4-FFF2-40B4-BE49-F238E27FC236}">
                <a16:creationId xmlns:a16="http://schemas.microsoft.com/office/drawing/2014/main" id="{DB72E5B3-DD01-4AFD-CC0C-3B8D084C94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24295" y="1915104"/>
            <a:ext cx="438150" cy="611579"/>
          </a:xfrm>
          <a:prstGeom prst="rect">
            <a:avLst/>
          </a:prstGeom>
        </xdr:spPr>
      </xdr:pic>
    </xdr:grpSp>
    <xdr:clientData/>
  </xdr:twoCellAnchor>
  <xdr:twoCellAnchor editAs="oneCell">
    <xdr:from>
      <xdr:col>11</xdr:col>
      <xdr:colOff>542925</xdr:colOff>
      <xdr:row>0</xdr:row>
      <xdr:rowOff>85725</xdr:rowOff>
    </xdr:from>
    <xdr:to>
      <xdr:col>18</xdr:col>
      <xdr:colOff>0</xdr:colOff>
      <xdr:row>3</xdr:row>
      <xdr:rowOff>161925</xdr:rowOff>
    </xdr:to>
    <mc:AlternateContent xmlns:mc="http://schemas.openxmlformats.org/markup-compatibility/2006" xmlns:a14="http://schemas.microsoft.com/office/drawing/2010/main">
      <mc:Choice Requires="a14">
        <xdr:graphicFrame macro="">
          <xdr:nvGraphicFramePr>
            <xdr:cNvPr id="34" name="Time Slot 1">
              <a:extLst>
                <a:ext uri="{FF2B5EF4-FFF2-40B4-BE49-F238E27FC236}">
                  <a16:creationId xmlns:a16="http://schemas.microsoft.com/office/drawing/2014/main" id="{961DABC9-33D5-4F9D-A9A2-5144E0521C90}"/>
                </a:ext>
              </a:extLst>
            </xdr:cNvPr>
            <xdr:cNvGraphicFramePr/>
          </xdr:nvGraphicFramePr>
          <xdr:xfrm>
            <a:off x="0" y="0"/>
            <a:ext cx="0" cy="0"/>
          </xdr:xfrm>
          <a:graphic>
            <a:graphicData uri="http://schemas.microsoft.com/office/drawing/2010/slicer">
              <sle:slicer xmlns:sle="http://schemas.microsoft.com/office/drawing/2010/slicer" name="Time Slot 1"/>
            </a:graphicData>
          </a:graphic>
        </xdr:graphicFrame>
      </mc:Choice>
      <mc:Fallback xmlns="">
        <xdr:sp macro="" textlink="">
          <xdr:nvSpPr>
            <xdr:cNvPr id="0" name=""/>
            <xdr:cNvSpPr>
              <a:spLocks noTextEdit="1"/>
            </xdr:cNvSpPr>
          </xdr:nvSpPr>
          <xdr:spPr>
            <a:xfrm>
              <a:off x="7248525" y="85725"/>
              <a:ext cx="3724275"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66676</xdr:colOff>
      <xdr:row>19</xdr:row>
      <xdr:rowOff>133350</xdr:rowOff>
    </xdr:from>
    <xdr:to>
      <xdr:col>20</xdr:col>
      <xdr:colOff>38100</xdr:colOff>
      <xdr:row>31</xdr:row>
      <xdr:rowOff>161925</xdr:rowOff>
    </xdr:to>
    <xdr:graphicFrame macro="">
      <xdr:nvGraphicFramePr>
        <xdr:cNvPr id="35" name="Chart 34">
          <a:extLst>
            <a:ext uri="{FF2B5EF4-FFF2-40B4-BE49-F238E27FC236}">
              <a16:creationId xmlns:a16="http://schemas.microsoft.com/office/drawing/2014/main" id="{8E306928-8447-4B9E-BF7C-9E9D12417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400051</xdr:colOff>
      <xdr:row>0</xdr:row>
      <xdr:rowOff>85727</xdr:rowOff>
    </xdr:from>
    <xdr:to>
      <xdr:col>19</xdr:col>
      <xdr:colOff>419101</xdr:colOff>
      <xdr:row>3</xdr:row>
      <xdr:rowOff>104775</xdr:rowOff>
    </xdr:to>
    <xdr:sp macro="" textlink="">
      <xdr:nvSpPr>
        <xdr:cNvPr id="12" name="Oval 11">
          <a:hlinkClick xmlns:r="http://schemas.openxmlformats.org/officeDocument/2006/relationships" r:id="rId10"/>
          <a:extLst>
            <a:ext uri="{FF2B5EF4-FFF2-40B4-BE49-F238E27FC236}">
              <a16:creationId xmlns:a16="http://schemas.microsoft.com/office/drawing/2014/main" id="{C2295A17-06C0-4235-9716-CBF4F7A917D3}"/>
            </a:ext>
          </a:extLst>
        </xdr:cNvPr>
        <xdr:cNvSpPr/>
      </xdr:nvSpPr>
      <xdr:spPr>
        <a:xfrm>
          <a:off x="11372851" y="85727"/>
          <a:ext cx="628650" cy="590548"/>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485775</xdr:colOff>
      <xdr:row>0</xdr:row>
      <xdr:rowOff>123825</xdr:rowOff>
    </xdr:from>
    <xdr:to>
      <xdr:col>19</xdr:col>
      <xdr:colOff>342900</xdr:colOff>
      <xdr:row>3</xdr:row>
      <xdr:rowOff>19050</xdr:rowOff>
    </xdr:to>
    <xdr:pic>
      <xdr:nvPicPr>
        <xdr:cNvPr id="11" name="Graphic 10" descr="Clipboard with solid fill">
          <a:extLst>
            <a:ext uri="{FF2B5EF4-FFF2-40B4-BE49-F238E27FC236}">
              <a16:creationId xmlns:a16="http://schemas.microsoft.com/office/drawing/2014/main" id="{B730015D-CC3A-45C0-71BE-5D2219A225F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58575" y="123825"/>
          <a:ext cx="466725" cy="466725"/>
        </a:xfrm>
        <a:prstGeom prst="rect">
          <a:avLst/>
        </a:prstGeom>
      </xdr:spPr>
    </xdr:pic>
    <xdr:clientData/>
  </xdr:twoCellAnchor>
  <xdr:twoCellAnchor>
    <xdr:from>
      <xdr:col>2</xdr:col>
      <xdr:colOff>257175</xdr:colOff>
      <xdr:row>8</xdr:row>
      <xdr:rowOff>180975</xdr:rowOff>
    </xdr:from>
    <xdr:to>
      <xdr:col>5</xdr:col>
      <xdr:colOff>323850</xdr:colOff>
      <xdr:row>10</xdr:row>
      <xdr:rowOff>152400</xdr:rowOff>
    </xdr:to>
    <xdr:sp macro="" textlink="">
      <xdr:nvSpPr>
        <xdr:cNvPr id="24" name="TextBox 23">
          <a:extLst>
            <a:ext uri="{FF2B5EF4-FFF2-40B4-BE49-F238E27FC236}">
              <a16:creationId xmlns:a16="http://schemas.microsoft.com/office/drawing/2014/main" id="{F8A02BB9-396A-807C-78DD-D764ED874F93}"/>
            </a:ext>
          </a:extLst>
        </xdr:cNvPr>
        <xdr:cNvSpPr txBox="1"/>
      </xdr:nvSpPr>
      <xdr:spPr>
        <a:xfrm>
          <a:off x="1476375" y="1704975"/>
          <a:ext cx="1895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Sales By Week</a:t>
          </a:r>
        </a:p>
      </xdr:txBody>
    </xdr:sp>
    <xdr:clientData/>
  </xdr:twoCellAnchor>
  <xdr:twoCellAnchor>
    <xdr:from>
      <xdr:col>15</xdr:col>
      <xdr:colOff>485775</xdr:colOff>
      <xdr:row>9</xdr:row>
      <xdr:rowOff>76200</xdr:rowOff>
    </xdr:from>
    <xdr:to>
      <xdr:col>18</xdr:col>
      <xdr:colOff>552450</xdr:colOff>
      <xdr:row>11</xdr:row>
      <xdr:rowOff>47625</xdr:rowOff>
    </xdr:to>
    <xdr:sp macro="" textlink="">
      <xdr:nvSpPr>
        <xdr:cNvPr id="25" name="TextBox 24">
          <a:extLst>
            <a:ext uri="{FF2B5EF4-FFF2-40B4-BE49-F238E27FC236}">
              <a16:creationId xmlns:a16="http://schemas.microsoft.com/office/drawing/2014/main" id="{79DD2F62-9FA9-4ABC-8765-BC81D123EBDD}"/>
            </a:ext>
          </a:extLst>
        </xdr:cNvPr>
        <xdr:cNvSpPr txBox="1"/>
      </xdr:nvSpPr>
      <xdr:spPr>
        <a:xfrm>
          <a:off x="9629775" y="1790700"/>
          <a:ext cx="1895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Sales By Catagory</a:t>
          </a:r>
        </a:p>
      </xdr:txBody>
    </xdr:sp>
    <xdr:clientData/>
  </xdr:twoCellAnchor>
  <xdr:twoCellAnchor>
    <xdr:from>
      <xdr:col>0</xdr:col>
      <xdr:colOff>19050</xdr:colOff>
      <xdr:row>31</xdr:row>
      <xdr:rowOff>171450</xdr:rowOff>
    </xdr:from>
    <xdr:to>
      <xdr:col>20</xdr:col>
      <xdr:colOff>66676</xdr:colOff>
      <xdr:row>33</xdr:row>
      <xdr:rowOff>76200</xdr:rowOff>
    </xdr:to>
    <xdr:sp macro="" textlink="">
      <xdr:nvSpPr>
        <xdr:cNvPr id="29" name="Rectangle: Rounded Corners 28">
          <a:extLst>
            <a:ext uri="{FF2B5EF4-FFF2-40B4-BE49-F238E27FC236}">
              <a16:creationId xmlns:a16="http://schemas.microsoft.com/office/drawing/2014/main" id="{D21F0FEB-88D8-BF27-7781-255FFFA4934E}"/>
            </a:ext>
          </a:extLst>
        </xdr:cNvPr>
        <xdr:cNvSpPr/>
      </xdr:nvSpPr>
      <xdr:spPr>
        <a:xfrm>
          <a:off x="19050" y="6076950"/>
          <a:ext cx="12239626" cy="28575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r>
            <a:rPr lang="en-IN" sz="1100" baseline="0"/>
            <a:t> All CopyRights Reserved </a:t>
          </a:r>
          <a:endParaRPr lang="en-IN" sz="1100"/>
        </a:p>
      </xdr:txBody>
    </xdr:sp>
    <xdr:clientData/>
  </xdr:twoCellAnchor>
  <xdr:twoCellAnchor>
    <xdr:from>
      <xdr:col>2</xdr:col>
      <xdr:colOff>9525</xdr:colOff>
      <xdr:row>3</xdr:row>
      <xdr:rowOff>180976</xdr:rowOff>
    </xdr:from>
    <xdr:to>
      <xdr:col>4</xdr:col>
      <xdr:colOff>28285</xdr:colOff>
      <xdr:row>5</xdr:row>
      <xdr:rowOff>25720</xdr:rowOff>
    </xdr:to>
    <xdr:sp macro="" textlink="">
      <xdr:nvSpPr>
        <xdr:cNvPr id="31" name="TextBox 30">
          <a:extLst>
            <a:ext uri="{FF2B5EF4-FFF2-40B4-BE49-F238E27FC236}">
              <a16:creationId xmlns:a16="http://schemas.microsoft.com/office/drawing/2014/main" id="{7AE4B6EF-C03D-4FAB-82E8-314AF4DEFCF2}"/>
            </a:ext>
          </a:extLst>
        </xdr:cNvPr>
        <xdr:cNvSpPr txBox="1"/>
      </xdr:nvSpPr>
      <xdr:spPr>
        <a:xfrm>
          <a:off x="1228725" y="752476"/>
          <a:ext cx="1237960" cy="22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a:t>
          </a:r>
          <a:r>
            <a:rPr lang="en-IN" sz="1400" b="1" baseline="0">
              <a:solidFill>
                <a:schemeClr val="bg1"/>
              </a:solidFill>
            </a:rPr>
            <a:t>  SALES</a:t>
          </a:r>
          <a:endParaRPr lang="en-IN" sz="1400" b="1">
            <a:solidFill>
              <a:schemeClr val="bg1"/>
            </a:solidFill>
          </a:endParaRPr>
        </a:p>
      </xdr:txBody>
    </xdr:sp>
    <xdr:clientData/>
  </xdr:twoCellAnchor>
  <xdr:twoCellAnchor editAs="oneCell">
    <xdr:from>
      <xdr:col>0</xdr:col>
      <xdr:colOff>219074</xdr:colOff>
      <xdr:row>0</xdr:row>
      <xdr:rowOff>0</xdr:rowOff>
    </xdr:from>
    <xdr:to>
      <xdr:col>3</xdr:col>
      <xdr:colOff>504825</xdr:colOff>
      <xdr:row>4</xdr:row>
      <xdr:rowOff>114300</xdr:rowOff>
    </xdr:to>
    <xdr:pic>
      <xdr:nvPicPr>
        <xdr:cNvPr id="37" name="Picture 36">
          <a:extLst>
            <a:ext uri="{FF2B5EF4-FFF2-40B4-BE49-F238E27FC236}">
              <a16:creationId xmlns:a16="http://schemas.microsoft.com/office/drawing/2014/main" id="{5F2C3226-00B1-3CBC-B38A-90770A729C47}"/>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5603" t="21926" r="22923" b="28876"/>
        <a:stretch/>
      </xdr:blipFill>
      <xdr:spPr>
        <a:xfrm>
          <a:off x="219074" y="0"/>
          <a:ext cx="2114551" cy="876300"/>
        </a:xfrm>
        <a:prstGeom prst="rect">
          <a:avLst/>
        </a:prstGeom>
      </xdr:spPr>
    </xdr:pic>
    <xdr:clientData/>
  </xdr:twoCellAnchor>
  <xdr:twoCellAnchor>
    <xdr:from>
      <xdr:col>10</xdr:col>
      <xdr:colOff>9525</xdr:colOff>
      <xdr:row>8</xdr:row>
      <xdr:rowOff>76200</xdr:rowOff>
    </xdr:from>
    <xdr:to>
      <xdr:col>19</xdr:col>
      <xdr:colOff>581025</xdr:colOff>
      <xdr:row>19</xdr:row>
      <xdr:rowOff>76200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5EA8EAE8-EE68-46D6-8778-FA20F90448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105525" y="1600200"/>
              <a:ext cx="6057900"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0.30957</cdr:x>
      <cdr:y>0.01851</cdr:y>
    </cdr:from>
    <cdr:to>
      <cdr:x>0.70363</cdr:x>
      <cdr:y>0.14699</cdr:y>
    </cdr:to>
    <cdr:sp macro="" textlink="">
      <cdr:nvSpPr>
        <cdr:cNvPr id="2" name="TextBox 23">
          <a:extLst xmlns:a="http://schemas.openxmlformats.org/drawingml/2006/main">
            <a:ext uri="{FF2B5EF4-FFF2-40B4-BE49-F238E27FC236}">
              <a16:creationId xmlns:a16="http://schemas.microsoft.com/office/drawing/2014/main" id="{F8A02BB9-396A-807C-78DD-D764ED874F93}"/>
            </a:ext>
          </a:extLst>
        </cdr:cNvPr>
        <cdr:cNvSpPr txBox="1"/>
      </cdr:nvSpPr>
      <cdr:spPr>
        <a:xfrm xmlns:a="http://schemas.openxmlformats.org/drawingml/2006/main">
          <a:off x="1489070" y="50789"/>
          <a:ext cx="1895478" cy="352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solidFill>
                <a:schemeClr val="bg1"/>
              </a:solidFill>
            </a:rPr>
            <a:t>Monthly Sales</a:t>
          </a:r>
        </a:p>
      </cdr:txBody>
    </cdr:sp>
  </cdr:relSizeAnchor>
</c:userShapes>
</file>

<file path=xl/drawings/drawing3.xml><?xml version="1.0" encoding="utf-8"?>
<c:userShapes xmlns:c="http://schemas.openxmlformats.org/drawingml/2006/chart">
  <cdr:relSizeAnchor xmlns:cdr="http://schemas.openxmlformats.org/drawingml/2006/chartDrawing">
    <cdr:from>
      <cdr:x>0.00864</cdr:x>
      <cdr:y>0.01852</cdr:y>
    </cdr:from>
    <cdr:to>
      <cdr:x>0.33117</cdr:x>
      <cdr:y>0.14699</cdr:y>
    </cdr:to>
    <cdr:sp macro="" textlink="">
      <cdr:nvSpPr>
        <cdr:cNvPr id="2" name="TextBox 23">
          <a:extLst xmlns:a="http://schemas.openxmlformats.org/drawingml/2006/main">
            <a:ext uri="{FF2B5EF4-FFF2-40B4-BE49-F238E27FC236}">
              <a16:creationId xmlns:a16="http://schemas.microsoft.com/office/drawing/2014/main" id="{F8A02BB9-396A-807C-78DD-D764ED874F93}"/>
            </a:ext>
          </a:extLst>
        </cdr:cNvPr>
        <cdr:cNvSpPr txBox="1"/>
      </cdr:nvSpPr>
      <cdr:spPr>
        <a:xfrm xmlns:a="http://schemas.openxmlformats.org/drawingml/2006/main">
          <a:off x="50800" y="50800"/>
          <a:ext cx="1895475" cy="3524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solidFill>
                <a:schemeClr val="bg1"/>
              </a:solidFill>
            </a:rPr>
            <a:t>Top</a:t>
          </a:r>
          <a:r>
            <a:rPr lang="en-IN" sz="1400" b="1" baseline="0">
              <a:solidFill>
                <a:schemeClr val="bg1"/>
              </a:solidFill>
            </a:rPr>
            <a:t> 5 Items</a:t>
          </a:r>
          <a:endParaRPr lang="en-IN" sz="1400" b="1">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11921298" backgroundQuery="1" createdVersion="8" refreshedVersion="8" minRefreshableVersion="3" recordCount="0" supportSubquery="1" supportAdvancedDrill="1" xr:uid="{0D8D4410-0108-44E7-9AD5-AFA301DC35FA}">
  <cacheSource type="external" connectionId="3"/>
  <cacheFields count="2">
    <cacheField name="[order detail].[Time Slot].[Time Slot]" caption="Time Slot" numFmtId="0" hierarchy="13" level="1">
      <sharedItems count="1">
        <s v="Afternoon"/>
      </sharedItems>
    </cacheField>
    <cacheField name="[Measures].[Sum of price 2]" caption="Sum of price 2" numFmtId="0" hierarchy="25" level="32767"/>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0"/>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18055556" backgroundQuery="1" createdVersion="8" refreshedVersion="8" minRefreshableVersion="3" recordCount="0" supportSubquery="1" supportAdvancedDrill="1" xr:uid="{8F3F2199-BB27-4892-828C-FB169C0A226A}">
  <cacheSource type="external" connectionId="3"/>
  <cacheFields count="3">
    <cacheField name="[menu item].[item_name].[item_name]" caption="item_name" numFmtId="0" hierarchy="1"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price 2]" caption="Sum of price 2" numFmtId="0" hierarchy="25"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fieldsUsage count="2">
        <fieldUsage x="-1"/>
        <fieldUsage x="0"/>
      </fieldsUsage>
    </cacheHierarchy>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2"/>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22800928" backgroundQuery="1" createdVersion="8" refreshedVersion="8" minRefreshableVersion="3" recordCount="0" supportSubquery="1" supportAdvancedDrill="1" xr:uid="{7223A1C3-39D6-4C06-B58B-A19AD5C19226}">
  <cacheSource type="external" connectionId="3"/>
  <cacheFields count="3">
    <cacheField name="[order detail].[workday name].[workday name]" caption="workday name" numFmtId="0" hierarchy="11" level="1">
      <sharedItems count="2">
        <s v="weekend"/>
        <s v="workday"/>
      </sharedItems>
    </cacheField>
    <cacheField name="[Measures].[Sum of price 2]" caption="Sum of price 2" numFmtId="0" hierarchy="25"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2" memberValueDatatype="130" unbalanced="0">
      <fieldsUsage count="2">
        <fieldUsage x="-1"/>
        <fieldUsage x="0"/>
      </fieldsUsage>
    </cacheHierarchy>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2"/>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24999999" backgroundQuery="1" createdVersion="8" refreshedVersion="8" minRefreshableVersion="3" recordCount="0" supportSubquery="1" supportAdvancedDrill="1" xr:uid="{0D84BDBF-41B3-425E-A32C-17122143EDD0}">
  <cacheSource type="external" connectionId="3"/>
  <cacheFields count="3">
    <cacheField name="[menu item].[category].[category]" caption="category" numFmtId="0" hierarchy="2" level="1">
      <sharedItems count="10">
        <s v="Breakfast"/>
        <s v="Burger"/>
        <s v="Chicken"/>
        <s v="Fries"/>
        <s v="Pasta"/>
        <s v="Salad"/>
        <s v="Sandwich"/>
        <s v="Shakes"/>
        <s v="Sides"/>
        <s v="Wraps"/>
      </sharedItems>
    </cacheField>
    <cacheField name="[Measures].[Sum of price 2]" caption="Sum of price 2" numFmtId="0" hierarchy="25"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0"/>
      </fieldsUsage>
    </cacheHierarchy>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2"/>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30439818" backgroundQuery="1" createdVersion="8" refreshedVersion="8" minRefreshableVersion="3" recordCount="0" supportSubquery="1" supportAdvancedDrill="1" xr:uid="{D85B0D59-995F-45C8-B9EE-32FBBE8E36BE}">
  <cacheSource type="external" connectionId="3"/>
  <cacheFields count="3">
    <cacheField name="[order detail].[Month Name].[Month Name]" caption="Month Name" numFmtId="0" hierarchy="12" level="1">
      <sharedItems count="3">
        <s v="February"/>
        <s v="January"/>
        <s v="March"/>
      </sharedItems>
    </cacheField>
    <cacheField name="[Measures].[Sum of price 2]" caption="Sum of price 2" numFmtId="0" hierarchy="25"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2" memberValueDatatype="130" unbalanced="0">
      <fieldsUsage count="2">
        <fieldUsage x="-1"/>
        <fieldUsage x="0"/>
      </fieldsUsage>
    </cacheHierarchy>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2"/>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33796297" backgroundQuery="1" createdVersion="8" refreshedVersion="8" minRefreshableVersion="3" recordCount="0" supportSubquery="1" supportAdvancedDrill="1" xr:uid="{080A4447-A1F0-4206-A67E-4DB595D9605E}">
  <cacheSource type="external" connectionId="3"/>
  <cacheFields count="3">
    <cacheField name="[menu item].[category].[category]" caption="category" numFmtId="0" hierarchy="2" level="1">
      <sharedItems count="5">
        <s v="Burger"/>
        <s v="Chicken"/>
        <s v="Pasta"/>
        <s v="Sandwich"/>
        <s v="Sides"/>
      </sharedItems>
    </cacheField>
    <cacheField name="[Measures].[Sum of price 2]" caption="Sum of price 2" numFmtId="0" hierarchy="25"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0"/>
      </fieldsUsage>
    </cacheHierarchy>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2"/>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8.388937847223" backgroundQuery="1" createdVersion="8" refreshedVersion="8" minRefreshableVersion="3" recordCount="0" supportSubquery="1" supportAdvancedDrill="1" xr:uid="{5D3148DA-9ED2-4A2D-80C4-E8B201AE207B}">
  <cacheSource type="external" connectionId="3"/>
  <cacheFields count="2">
    <cacheField name="[Measures].[Distinct Count of order_id]" caption="Distinct Count of order_id" numFmtId="0" hierarchy="23" level="32767"/>
    <cacheField name="[order detail].[Time Slot].[Time Slot]" caption="Time Slot" numFmtId="0" hierarchy="13" level="1">
      <sharedItems containsSemiMixedTypes="0" containsNonDate="0" containsString="0"/>
    </cacheField>
  </cacheFields>
  <cacheHierarchies count="26">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fieldsUsage count="2">
        <fieldUsage x="-1"/>
        <fieldUsage x="1"/>
      </fieldsUsage>
    </cacheHierarchy>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menu item" count="0" hidden="1">
      <extLst>
        <ext xmlns:x15="http://schemas.microsoft.com/office/spreadsheetml/2010/11/main" uri="{B97F6D7D-B522-45F9-BDA1-12C45D357490}">
          <x15:cacheHierarchy aggregatedColumn="0"/>
        </ext>
      </extLst>
    </cacheHierarchy>
    <cacheHierarchy uniqueName="[Measures].[Sum of price 2]" caption="Sum of price 2" measure="1" displayFolder="" measureGroup="order detail"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menu item" uniqueName="[menu item]" caption="menu item"/>
    <dimension name="order detail" uniqueName="[order detail]" caption="order detail"/>
  </dimensions>
  <measureGroups count="2">
    <measureGroup name="menu item" caption="menu item"/>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7.800793171293" backgroundQuery="1" createdVersion="3" refreshedVersion="8" minRefreshableVersion="3" recordCount="0" supportSubquery="1" supportAdvancedDrill="1" xr:uid="{7004B675-FABF-4CAC-9B3B-23FD21E238A9}">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0" memberValueDatatype="130" unbalanced="0"/>
    <cacheHierarchy uniqueName="[menu item].[category]" caption="category" attribute="1" defaultMemberUniqueName="[menu item].[category].[All]" allUniqueName="[menu item].[category].[All]" dimensionUniqueName="[menu item]" displayFolder="" count="0" memberValueDatatype="130" unbalanced="0"/>
    <cacheHierarchy uniqueName="[menu item].[price]" caption="price" attribute="1" defaultMemberUniqueName="[menu item].[price].[All]" allUniqueName="[menu item].[price].[All]" dimensionUniqueName="[menu item]"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0" memberValueDatatype="130" unbalanced="0"/>
    <cacheHierarchy uniqueName="[order detail].[workday name]" caption="workday name" attribute="1" defaultMemberUniqueName="[order detail].[workday name].[All]" allUniqueName="[order detail].[workday name].[All]" dimensionUniqueName="[order detail]" displayFolder="" count="0" memberValueDatatype="130" unbalanced="0"/>
    <cacheHierarchy uniqueName="[order detail].[Month Name]" caption="Month Name" attribute="1" defaultMemberUniqueName="[order detail].[Month Name].[All]" allUniqueName="[order detail].[Month Name].[All]" dimensionUniqueName="[order detail]" displayFolder="" count="0" memberValueDatatype="130" unbalanced="0"/>
    <cacheHierarchy uniqueName="[order detail].[Time Slot]" caption="Time Slot" attribute="1" defaultMemberUniqueName="[order detail].[Time Slot].[All]" allUniqueName="[order detail].[Time Slot].[All]" dimensionUniqueName="[order detail]" displayFolder="" count="2" memberValueDatatype="130" unbalanced="0"/>
    <cacheHierarchy uniqueName="[Measures].[__XL_Count menu item]" caption="__XL_Count menu item" measure="1" displayFolder="" measureGroup="menu item" count="0" hidden="1"/>
    <cacheHierarchy uniqueName="[Measures].[__XL_Count order detail]" caption="__XL_Count order detail" measure="1" displayFolder="" measureGroup="order detail" count="0" hidden="1"/>
    <cacheHierarchy uniqueName="[Measures].[__No measures defined]" caption="__No measures defined" measure="1" displayFolder="" count="0" hidden="1"/>
    <cacheHierarchy uniqueName="[Measures].[Sum of price]" caption="Sum of price" measure="1" displayFolder="" measureGroup="menu item" count="0" hidden="1">
      <extLst>
        <ext xmlns:x15="http://schemas.microsoft.com/office/spreadsheetml/2010/11/main" uri="{B97F6D7D-B522-45F9-BDA1-12C45D357490}">
          <x15:cacheHierarchy aggregatedColumn="3"/>
        </ext>
      </extLst>
    </cacheHierarchy>
    <cacheHierarchy uniqueName="[Measures].[Sum of item_id]" caption="Sum of item_id" measure="1" displayFolder="" measureGroup="order detail"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item_id]" caption="Distinct Count of item_id" measure="1" displayFolder="" measureGroup="order detail" count="0" hidden="1">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393731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950561-3F2D-4B88-AB12-1E7C6E807271}" name="PivotTable1" cacheId="224" applyNumberFormats="0" applyBorderFormats="0" applyFontFormats="0" applyPatternFormats="0" applyAlignmentFormats="0" applyWidthHeightFormats="1" dataCaption="Values" tag="0d318715-76d5-4436-81fc-797248923ee8" updatedVersion="8" minRefreshableVersion="3" useAutoFormatting="1" subtotalHiddenItems="1" itemPrintTitles="1" createdVersion="8" indent="0" outline="1" outlineData="1" multipleFieldFilters="0">
  <location ref="A1:B34"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1" baseField="0" baseItem="0"/>
  </dataFields>
  <formats count="2">
    <format dxfId="13">
      <pivotArea outline="0" collapsedLevelsAreSubtotals="1" fieldPosition="0"/>
    </format>
    <format dxfId="12">
      <pivotArea dataOnly="0" labelOnly="1" outline="0" axis="axisValues"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BB2442-735A-4B4F-9390-A484404E8E12}" name="PivotTable7" cacheId="221" applyNumberFormats="0" applyBorderFormats="0" applyFontFormats="0" applyPatternFormats="0" applyAlignmentFormats="0" applyWidthHeightFormats="1" dataCaption="Values" tag="d08597b3-e417-4122-b9b8-3239d0bb51b8" updatedVersion="8" minRefreshableVersion="3" useAutoFormatting="1" subtotalHiddenItems="1" itemPrintTitles="1" createdVersion="8" indent="0" outline="1" outlineData="1" multipleFieldFilters="0">
  <location ref="D9:E11"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price" fld="1" baseField="0" baseItem="0"/>
  </dataFields>
  <formats count="2">
    <format dxfId="15">
      <pivotArea collapsedLevelsAreSubtotals="1" fieldPosition="0">
        <references count="1">
          <reference field="0" count="0"/>
        </references>
      </pivotArea>
    </format>
    <format dxfId="14">
      <pivotArea grandRow="1"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EF9FB5-1B52-4576-B41C-3FCBEF52FA11}" name="PivotTable3" cacheId="230" applyNumberFormats="0" applyBorderFormats="0" applyFontFormats="0" applyPatternFormats="0" applyAlignmentFormats="0" applyWidthHeightFormats="1" dataCaption="Values" tag="41218bea-89d6-4b76-8151-6490447b69fc" updatedVersion="8" minRefreshableVersion="3" useAutoFormatting="1" subtotalHiddenItems="1" itemPrintTitles="1" createdVersion="8" indent="0" outline="1" outlineData="1" multipleFieldFilters="0" chartFormat="21">
  <location ref="F37:G48"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formats count="2">
    <format dxfId="17">
      <pivotArea outline="0" collapsedLevelsAreSubtotals="1" fieldPosition="0"/>
    </format>
    <format dxfId="16">
      <pivotArea dataOnly="0" labelOnly="1" outline="0" axis="axisValues" fieldPosition="0"/>
    </format>
  </formats>
  <chartFormats count="1">
    <chartFormat chart="4" format="23"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0A3B3-E22E-43EE-A32B-A0DF9A99A4E2}" name="PivotTable2" cacheId="227" applyNumberFormats="0" applyBorderFormats="0" applyFontFormats="0" applyPatternFormats="0" applyAlignmentFormats="0" applyWidthHeightFormats="1" dataCaption="Values" tag="b758eda8-af8f-44af-aab7-58c75b91db2c" updatedVersion="8" minRefreshableVersion="3" useAutoFormatting="1" itemPrintTitles="1" createdVersion="8" indent="0" outline="1" outlineData="1" multipleFieldFilters="0" chartFormat="19">
  <location ref="F30:G3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dataFields>
  <formats count="2">
    <format dxfId="19">
      <pivotArea outline="0" collapsedLevelsAreSubtotals="1" fieldPosition="0"/>
    </format>
    <format dxfId="18">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78156A-BA71-48EB-8471-056D72955B51}" name="PivotTable4" cacheId="233" applyNumberFormats="0" applyBorderFormats="0" applyFontFormats="0" applyPatternFormats="0" applyAlignmentFormats="0" applyWidthHeightFormats="1" dataCaption="Values" tag="772102d1-6dc4-45fc-9da6-ecf82d9c7a80" updatedVersion="8" minRefreshableVersion="3" useAutoFormatting="1" subtotalHiddenItems="1" itemPrintTitles="1" createdVersion="8" indent="0" outline="1" outlineData="1" multipleFieldFilters="0" chartFormat="11">
  <location ref="A39:B4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ice" fld="1" baseField="0" baseItem="0"/>
  </dataFields>
  <formats count="2">
    <format dxfId="21">
      <pivotArea outline="0" collapsedLevelsAreSubtotals="1" fieldPosition="0"/>
    </format>
    <format dxfId="20">
      <pivotArea dataOnly="0" labelOnly="1" outline="0" axis="axisValues" fieldPosition="0"/>
    </format>
  </formats>
  <chartFormats count="1">
    <chartFormat chart="10"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6C4313-A5A4-437E-977B-AD2CD5DBB81B}" name="PivotTable11"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88A42-80DC-47B8-8B1D-BC7CF603A230}" name="PivotTable8" cacheId="236" applyNumberFormats="0" applyBorderFormats="0" applyFontFormats="0" applyPatternFormats="0" applyAlignmentFormats="0" applyWidthHeightFormats="1" dataCaption="Values" tag="dddf650a-a44b-42da-86cd-5c0d608cc571" updatedVersion="8" minRefreshableVersion="3" useAutoFormatting="1" subtotalHiddenItems="1" itemPrintTitles="1" createdVersion="8" indent="0" outline="1" outlineData="1" multipleFieldFilters="0" chartFormat="21">
  <location ref="B46:C5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dataFields>
  <formats count="2">
    <format dxfId="23">
      <pivotArea outline="0" collapsedLevelsAreSubtotals="1" fieldPosition="0"/>
    </format>
    <format dxfId="22">
      <pivotArea dataOnly="0" labelOnly="1" outline="0" axis="axisValues" fieldPosition="0"/>
    </format>
  </formats>
  <chartFormats count="6">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0" count="1" selected="0">
            <x v="0"/>
          </reference>
        </references>
      </pivotArea>
    </chartFormat>
    <chartFormat chart="20" format="15">
      <pivotArea type="data" outline="0" fieldPosition="0">
        <references count="2">
          <reference field="4294967294" count="1" selected="0">
            <x v="0"/>
          </reference>
          <reference field="0" count="1" selected="0">
            <x v="1"/>
          </reference>
        </references>
      </pivotArea>
    </chartFormat>
    <chartFormat chart="20" format="16">
      <pivotArea type="data" outline="0" fieldPosition="0">
        <references count="2">
          <reference field="4294967294" count="1" selected="0">
            <x v="0"/>
          </reference>
          <reference field="0" count="1" selected="0">
            <x v="2"/>
          </reference>
        </references>
      </pivotArea>
    </chartFormat>
    <chartFormat chart="20" format="17">
      <pivotArea type="data" outline="0" fieldPosition="0">
        <references count="2">
          <reference field="4294967294" count="1" selected="0">
            <x v="0"/>
          </reference>
          <reference field="0" count="1" selected="0">
            <x v="3"/>
          </reference>
        </references>
      </pivotArea>
    </chartFormat>
    <chartFormat chart="20" format="18">
      <pivotArea type="data" outline="0" fieldPosition="0">
        <references count="2">
          <reference field="4294967294" count="1" selected="0">
            <x v="0"/>
          </reference>
          <reference field="0" count="1" selected="0">
            <x v="4"/>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etail].[Time Slot].&amp;[Afternoon]"/>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9E8F0402-7331-4934-9D27-4C0AFFAE412C}" sourceName="[order detail].[Time Slot]">
  <pivotTables>
    <pivotTable tabId="1" name="PivotTable7"/>
    <pivotTable tabId="1" name="PivotTable1"/>
    <pivotTable tabId="1" name="PivotTable2"/>
    <pivotTable tabId="1" name="PivotTable3"/>
    <pivotTable tabId="1" name="PivotTable4"/>
    <pivotTable tabId="1" name="PivotTable8"/>
    <pivotTable tabId="1" name="PivotTable11"/>
  </pivotTables>
  <data>
    <olap pivotCacheId="1539373170">
      <levels count="2">
        <level uniqueName="[order detail].[Time Slot].[(All)]" sourceCaption="(All)" count="0"/>
        <level uniqueName="[order detail].[Time Slot].[Time Slot]" sourceCaption="Time Slot" count="4">
          <ranges>
            <range startItem="0">
              <i n="[order detail].[Time Slot].&amp;[Afternoon]" c="Afternoon"/>
              <i n="[order detail].[Time Slot].&amp;[Evening]" c="Evening"/>
              <i n="[order detail].[Time Slot].&amp;[Morning]" c="Morning"/>
              <i n="[order detail].[Time Slot].&amp;[Night]" c="Night"/>
            </range>
          </ranges>
        </level>
      </levels>
      <selections count="1">
        <selection n="[order detail].[Time Slot].&amp;[Afterno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Slot 1" xr10:uid="{42165140-223C-41E3-9828-C81B6715D8D5}" cache="Slicer_Time_Slot" caption="Time Slot" columnCount="4" level="1" style="Slicer Style 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workbookViewId="0">
      <selection activeCell="H16" sqref="H16"/>
    </sheetView>
  </sheetViews>
  <sheetFormatPr defaultRowHeight="15" x14ac:dyDescent="0.25"/>
  <cols>
    <col min="1" max="1" width="13.140625" bestFit="1" customWidth="1"/>
    <col min="2" max="2" width="13.140625" style="4" bestFit="1" customWidth="1"/>
    <col min="3" max="3" width="13.28515625" bestFit="1" customWidth="1"/>
    <col min="4" max="4" width="13.140625" style="4" bestFit="1" customWidth="1"/>
    <col min="5" max="5" width="12" bestFit="1" customWidth="1"/>
    <col min="6" max="6" width="13.140625" bestFit="1" customWidth="1"/>
    <col min="7" max="7" width="13.28515625" style="6" bestFit="1" customWidth="1"/>
    <col min="10" max="10" width="18.140625" customWidth="1"/>
    <col min="11" max="11" width="24.140625" bestFit="1" customWidth="1"/>
  </cols>
  <sheetData>
    <row r="1" spans="1:11" x14ac:dyDescent="0.25">
      <c r="A1" s="1" t="s">
        <v>0</v>
      </c>
      <c r="B1" s="4" t="s">
        <v>54</v>
      </c>
    </row>
    <row r="2" spans="1:11" x14ac:dyDescent="0.25">
      <c r="A2" s="2" t="s">
        <v>1</v>
      </c>
      <c r="B2" s="4">
        <v>1925.590000000002</v>
      </c>
      <c r="D2" s="8" t="s">
        <v>46</v>
      </c>
      <c r="E2" s="9"/>
      <c r="F2" s="9"/>
      <c r="G2" s="10" t="s">
        <v>50</v>
      </c>
      <c r="H2" s="9" t="s">
        <v>51</v>
      </c>
      <c r="I2" s="9"/>
      <c r="J2" s="9"/>
      <c r="K2" t="s">
        <v>52</v>
      </c>
    </row>
    <row r="3" spans="1:11" ht="15.75" thickBot="1" x14ac:dyDescent="0.3">
      <c r="A3" s="2" t="s">
        <v>2</v>
      </c>
      <c r="B3" s="4">
        <v>97</v>
      </c>
      <c r="D3" s="5">
        <v>61003.780000000072</v>
      </c>
      <c r="G3" s="6">
        <f>D3/K3</f>
        <v>24.499510040160672</v>
      </c>
      <c r="H3" s="4">
        <f>B34/90</f>
        <v>334.07400000001866</v>
      </c>
      <c r="K3" s="3">
        <v>2490</v>
      </c>
    </row>
    <row r="4" spans="1:11" x14ac:dyDescent="0.25">
      <c r="A4" s="2" t="s">
        <v>3</v>
      </c>
      <c r="B4" s="4">
        <v>1216.2600000000014</v>
      </c>
    </row>
    <row r="5" spans="1:11" x14ac:dyDescent="0.25">
      <c r="A5" s="2" t="s">
        <v>4</v>
      </c>
      <c r="B5" s="4">
        <v>1850.91</v>
      </c>
    </row>
    <row r="6" spans="1:11" x14ac:dyDescent="0.25">
      <c r="A6" s="2" t="s">
        <v>5</v>
      </c>
      <c r="B6" s="4">
        <v>647.27999999999986</v>
      </c>
    </row>
    <row r="7" spans="1:11" x14ac:dyDescent="0.25">
      <c r="A7" s="2" t="s">
        <v>6</v>
      </c>
      <c r="B7" s="4">
        <v>1888.5900000000024</v>
      </c>
    </row>
    <row r="8" spans="1:11" x14ac:dyDescent="0.25">
      <c r="A8" s="2" t="s">
        <v>7</v>
      </c>
      <c r="B8" s="4">
        <v>411.82000000000068</v>
      </c>
    </row>
    <row r="9" spans="1:11" x14ac:dyDescent="0.25">
      <c r="A9" s="2" t="s">
        <v>8</v>
      </c>
      <c r="B9" s="4">
        <v>958.80000000000086</v>
      </c>
      <c r="D9" s="1" t="s">
        <v>0</v>
      </c>
      <c r="E9" t="s">
        <v>54</v>
      </c>
    </row>
    <row r="10" spans="1:11" x14ac:dyDescent="0.25">
      <c r="A10" s="2" t="s">
        <v>9</v>
      </c>
      <c r="B10" s="4">
        <v>1120.1300000000001</v>
      </c>
      <c r="D10" s="2" t="s">
        <v>53</v>
      </c>
      <c r="E10" s="4">
        <v>30066.660000001681</v>
      </c>
    </row>
    <row r="11" spans="1:11" x14ac:dyDescent="0.25">
      <c r="A11" s="2" t="s">
        <v>10</v>
      </c>
      <c r="B11" s="4">
        <v>992.29000000000167</v>
      </c>
      <c r="D11" s="2" t="s">
        <v>33</v>
      </c>
      <c r="E11" s="4">
        <v>30066.660000001681</v>
      </c>
    </row>
    <row r="12" spans="1:11" x14ac:dyDescent="0.25">
      <c r="A12" s="2" t="s">
        <v>11</v>
      </c>
      <c r="B12" s="4">
        <v>1162.06</v>
      </c>
      <c r="D12"/>
    </row>
    <row r="13" spans="1:11" x14ac:dyDescent="0.25">
      <c r="A13" s="2" t="s">
        <v>12</v>
      </c>
      <c r="B13" s="4">
        <v>176.41000000000008</v>
      </c>
      <c r="D13"/>
    </row>
    <row r="14" spans="1:11" x14ac:dyDescent="0.25">
      <c r="A14" s="2" t="s">
        <v>13</v>
      </c>
      <c r="B14" s="4">
        <v>502.32000000000107</v>
      </c>
      <c r="D14"/>
    </row>
    <row r="15" spans="1:11" x14ac:dyDescent="0.25">
      <c r="A15" s="2" t="s">
        <v>14</v>
      </c>
      <c r="B15" s="4">
        <v>457.47000000000094</v>
      </c>
      <c r="D15"/>
    </row>
    <row r="16" spans="1:11" x14ac:dyDescent="0.25">
      <c r="A16" s="2" t="s">
        <v>15</v>
      </c>
      <c r="B16" s="4">
        <v>718.49999999999932</v>
      </c>
      <c r="D16"/>
    </row>
    <row r="17" spans="1:7" x14ac:dyDescent="0.25">
      <c r="A17" s="2" t="s">
        <v>16</v>
      </c>
      <c r="B17" s="4">
        <v>843.8799999999967</v>
      </c>
      <c r="D17"/>
    </row>
    <row r="18" spans="1:7" x14ac:dyDescent="0.25">
      <c r="A18" s="2" t="s">
        <v>17</v>
      </c>
      <c r="B18" s="4">
        <v>494.10000000000053</v>
      </c>
      <c r="D18"/>
    </row>
    <row r="19" spans="1:7" x14ac:dyDescent="0.25">
      <c r="A19" s="2" t="s">
        <v>18</v>
      </c>
      <c r="B19" s="4">
        <v>646.92000000000007</v>
      </c>
      <c r="D19"/>
    </row>
    <row r="20" spans="1:7" x14ac:dyDescent="0.25">
      <c r="A20" s="2" t="s">
        <v>19</v>
      </c>
      <c r="B20" s="4">
        <v>409.91000000000111</v>
      </c>
      <c r="D20"/>
    </row>
    <row r="21" spans="1:7" x14ac:dyDescent="0.25">
      <c r="A21" s="2" t="s">
        <v>20</v>
      </c>
      <c r="B21" s="4">
        <v>252.73000000000042</v>
      </c>
      <c r="D21"/>
    </row>
    <row r="22" spans="1:7" x14ac:dyDescent="0.25">
      <c r="A22" s="2" t="s">
        <v>21</v>
      </c>
      <c r="B22" s="4">
        <v>1168.8300000000008</v>
      </c>
      <c r="D22"/>
    </row>
    <row r="23" spans="1:7" x14ac:dyDescent="0.25">
      <c r="A23" s="2" t="s">
        <v>22</v>
      </c>
      <c r="B23" s="4">
        <v>394.37000000000063</v>
      </c>
      <c r="D23"/>
    </row>
    <row r="24" spans="1:7" x14ac:dyDescent="0.25">
      <c r="A24" s="2" t="s">
        <v>23</v>
      </c>
      <c r="B24" s="4">
        <v>2103.6600000000003</v>
      </c>
      <c r="D24"/>
    </row>
    <row r="25" spans="1:7" x14ac:dyDescent="0.25">
      <c r="A25" s="2" t="s">
        <v>24</v>
      </c>
      <c r="B25" s="4">
        <v>645.84000000000151</v>
      </c>
      <c r="D25"/>
    </row>
    <row r="26" spans="1:7" x14ac:dyDescent="0.25">
      <c r="A26" s="2" t="s">
        <v>25</v>
      </c>
      <c r="B26" s="4">
        <v>1989.4699999999928</v>
      </c>
      <c r="D26"/>
    </row>
    <row r="27" spans="1:7" x14ac:dyDescent="0.25">
      <c r="A27" s="2" t="s">
        <v>26</v>
      </c>
      <c r="B27" s="4">
        <v>597.00000000000193</v>
      </c>
    </row>
    <row r="28" spans="1:7" x14ac:dyDescent="0.25">
      <c r="A28" s="2" t="s">
        <v>27</v>
      </c>
      <c r="B28" s="4">
        <v>1438.2000000000014</v>
      </c>
    </row>
    <row r="29" spans="1:7" x14ac:dyDescent="0.25">
      <c r="A29" s="2" t="s">
        <v>28</v>
      </c>
      <c r="B29" s="4">
        <v>818.36000000000115</v>
      </c>
    </row>
    <row r="30" spans="1:7" x14ac:dyDescent="0.25">
      <c r="A30" s="2" t="s">
        <v>29</v>
      </c>
      <c r="B30" s="4">
        <v>462.84000000000071</v>
      </c>
      <c r="F30" s="1" t="s">
        <v>0</v>
      </c>
      <c r="G30" s="4" t="s">
        <v>54</v>
      </c>
    </row>
    <row r="31" spans="1:7" x14ac:dyDescent="0.25">
      <c r="A31" s="2" t="s">
        <v>30</v>
      </c>
      <c r="B31" s="4">
        <v>942.90000000000157</v>
      </c>
      <c r="F31" s="2" t="s">
        <v>34</v>
      </c>
      <c r="G31" s="4">
        <v>8883.2499999998454</v>
      </c>
    </row>
    <row r="32" spans="1:7" x14ac:dyDescent="0.25">
      <c r="A32" s="2" t="s">
        <v>31</v>
      </c>
      <c r="B32" s="4">
        <v>1731.1100000000001</v>
      </c>
      <c r="F32" s="2" t="s">
        <v>35</v>
      </c>
      <c r="G32" s="4">
        <v>21183.409999999869</v>
      </c>
    </row>
    <row r="33" spans="1:10" x14ac:dyDescent="0.25">
      <c r="A33" s="2" t="s">
        <v>32</v>
      </c>
      <c r="B33" s="4">
        <v>1001.1099999999972</v>
      </c>
      <c r="F33" s="2" t="s">
        <v>33</v>
      </c>
      <c r="G33" s="4">
        <v>30066.660000001681</v>
      </c>
    </row>
    <row r="34" spans="1:10" x14ac:dyDescent="0.25">
      <c r="A34" s="2" t="s">
        <v>33</v>
      </c>
      <c r="B34" s="4">
        <v>30066.660000001681</v>
      </c>
    </row>
    <row r="37" spans="1:10" x14ac:dyDescent="0.25">
      <c r="F37" s="1" t="s">
        <v>0</v>
      </c>
      <c r="G37" s="4" t="s">
        <v>54</v>
      </c>
    </row>
    <row r="38" spans="1:10" x14ac:dyDescent="0.25">
      <c r="F38" s="2" t="s">
        <v>36</v>
      </c>
      <c r="G38" s="4">
        <v>647.27999999999986</v>
      </c>
      <c r="I38" s="11" t="s">
        <v>36</v>
      </c>
      <c r="J38" s="12">
        <v>1269.4499999999919</v>
      </c>
    </row>
    <row r="39" spans="1:10" x14ac:dyDescent="0.25">
      <c r="A39" s="1" t="s">
        <v>0</v>
      </c>
      <c r="B39" s="4" t="s">
        <v>54</v>
      </c>
      <c r="F39" s="2" t="s">
        <v>37</v>
      </c>
      <c r="G39" s="4">
        <v>10622.309999999834</v>
      </c>
      <c r="I39" s="11" t="s">
        <v>37</v>
      </c>
      <c r="J39" s="12">
        <v>21459.990000000456</v>
      </c>
    </row>
    <row r="40" spans="1:10" x14ac:dyDescent="0.25">
      <c r="A40" s="2" t="s">
        <v>47</v>
      </c>
      <c r="B40" s="4">
        <v>9156.7699999999022</v>
      </c>
      <c r="F40" s="2" t="s">
        <v>38</v>
      </c>
      <c r="G40" s="4">
        <v>6014.6999999998643</v>
      </c>
      <c r="I40" s="11" t="s">
        <v>38</v>
      </c>
      <c r="J40" s="12">
        <v>12283.449999999781</v>
      </c>
    </row>
    <row r="41" spans="1:10" x14ac:dyDescent="0.25">
      <c r="A41" s="2" t="s">
        <v>48</v>
      </c>
      <c r="B41" s="4">
        <v>10213.799999999901</v>
      </c>
      <c r="F41" s="2" t="s">
        <v>39</v>
      </c>
      <c r="G41" s="4">
        <v>1255.7000000000035</v>
      </c>
      <c r="I41" s="11" t="s">
        <v>39</v>
      </c>
      <c r="J41" s="12">
        <v>2463.3600000000019</v>
      </c>
    </row>
    <row r="42" spans="1:10" x14ac:dyDescent="0.25">
      <c r="A42" s="2" t="s">
        <v>49</v>
      </c>
      <c r="B42" s="4">
        <v>10696.089999999876</v>
      </c>
      <c r="F42" s="2" t="s">
        <v>40</v>
      </c>
      <c r="G42" s="4">
        <v>4500.6599999999389</v>
      </c>
      <c r="I42" s="11" t="s">
        <v>40</v>
      </c>
      <c r="J42" s="12">
        <v>9147.1399999998193</v>
      </c>
    </row>
    <row r="43" spans="1:10" x14ac:dyDescent="0.25">
      <c r="A43" s="2" t="s">
        <v>33</v>
      </c>
      <c r="B43" s="4">
        <v>30066.660000001681</v>
      </c>
      <c r="F43" s="2" t="s">
        <v>41</v>
      </c>
      <c r="G43" s="4">
        <v>494.10000000000053</v>
      </c>
      <c r="I43" s="11" t="s">
        <v>41</v>
      </c>
      <c r="J43" s="12">
        <v>1136.4300000000014</v>
      </c>
    </row>
    <row r="44" spans="1:10" x14ac:dyDescent="0.25">
      <c r="F44" s="2" t="s">
        <v>42</v>
      </c>
      <c r="G44" s="4">
        <v>4050.4999999999682</v>
      </c>
      <c r="I44" s="11" t="s">
        <v>42</v>
      </c>
      <c r="J44" s="12">
        <v>8131.7299999999277</v>
      </c>
    </row>
    <row r="45" spans="1:10" x14ac:dyDescent="0.25">
      <c r="F45" s="2" t="s">
        <v>43</v>
      </c>
      <c r="G45" s="4">
        <v>502.32000000000107</v>
      </c>
      <c r="I45" s="11" t="s">
        <v>43</v>
      </c>
      <c r="J45" s="12">
        <v>1073.4100000000028</v>
      </c>
    </row>
    <row r="46" spans="1:10" x14ac:dyDescent="0.25">
      <c r="B46" s="1" t="s">
        <v>0</v>
      </c>
      <c r="C46" s="4" t="s">
        <v>54</v>
      </c>
      <c r="F46" s="2" t="s">
        <v>44</v>
      </c>
      <c r="G46" s="4">
        <v>1339.840000000004</v>
      </c>
      <c r="I46" s="11" t="s">
        <v>44</v>
      </c>
      <c r="J46" s="12">
        <v>2817.1899999999432</v>
      </c>
    </row>
    <row r="47" spans="1:10" x14ac:dyDescent="0.25">
      <c r="B47" s="2" t="s">
        <v>37</v>
      </c>
      <c r="C47" s="4">
        <v>10622.309999999834</v>
      </c>
      <c r="F47" s="2" t="s">
        <v>45</v>
      </c>
      <c r="G47" s="4">
        <v>639.25000000000114</v>
      </c>
      <c r="I47" s="11" t="s">
        <v>45</v>
      </c>
      <c r="J47" s="12">
        <v>1221.6300000000026</v>
      </c>
    </row>
    <row r="48" spans="1:10" x14ac:dyDescent="0.25">
      <c r="B48" s="2" t="s">
        <v>38</v>
      </c>
      <c r="C48" s="4">
        <v>6014.6999999998643</v>
      </c>
      <c r="F48" s="2" t="s">
        <v>33</v>
      </c>
      <c r="G48" s="4">
        <v>30066.660000001681</v>
      </c>
    </row>
    <row r="49" spans="2:3" x14ac:dyDescent="0.25">
      <c r="B49" s="2" t="s">
        <v>40</v>
      </c>
      <c r="C49" s="4">
        <v>4500.6599999999389</v>
      </c>
    </row>
    <row r="50" spans="2:3" x14ac:dyDescent="0.25">
      <c r="B50" s="2" t="s">
        <v>42</v>
      </c>
      <c r="C50" s="4">
        <v>4050.4999999999682</v>
      </c>
    </row>
    <row r="51" spans="2:3" x14ac:dyDescent="0.25">
      <c r="B51" s="2" t="s">
        <v>44</v>
      </c>
      <c r="C51" s="4">
        <v>1339.840000000004</v>
      </c>
    </row>
    <row r="52" spans="2:3" x14ac:dyDescent="0.25">
      <c r="B52" s="2" t="s">
        <v>33</v>
      </c>
      <c r="C52" s="4">
        <v>26528.01000000077</v>
      </c>
    </row>
    <row r="53" spans="2:3" x14ac:dyDescent="0.25">
      <c r="B53"/>
    </row>
    <row r="54" spans="2:3" x14ac:dyDescent="0.25">
      <c r="B54"/>
    </row>
    <row r="55" spans="2:3" x14ac:dyDescent="0.25">
      <c r="B55"/>
    </row>
    <row r="56" spans="2:3" x14ac:dyDescent="0.25">
      <c r="B56"/>
    </row>
    <row r="57" spans="2:3" x14ac:dyDescent="0.25">
      <c r="B57"/>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C767-58A5-4714-99E0-E25BC83FC386}">
  <dimension ref="A1"/>
  <sheetViews>
    <sheetView showGridLines="0" tabSelected="1" zoomScaleNormal="100" workbookViewId="0">
      <selection activeCell="L42" sqref="L42"/>
    </sheetView>
  </sheetViews>
  <sheetFormatPr defaultRowHeight="15" x14ac:dyDescent="0.25"/>
  <cols>
    <col min="1" max="16384" width="9.140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F198EA0-6CB8-4613-9F71-872E1244B5F5}">
  <ds:schemaRefs/>
</ds:datastoreItem>
</file>

<file path=customXml/itemProps2.xml><?xml version="1.0" encoding="utf-8"?>
<ds:datastoreItem xmlns:ds="http://schemas.openxmlformats.org/officeDocument/2006/customXml" ds:itemID="{F61A86F9-AFC8-4DFD-B91B-C1E9F70C6299}">
  <ds:schemaRefs>
    <ds:schemaRef ds:uri="http://schemas.microsoft.com/DataMashup"/>
  </ds:schemaRefs>
</ds:datastoreItem>
</file>

<file path=customXml/itemProps3.xml><?xml version="1.0" encoding="utf-8"?>
<ds:datastoreItem xmlns:ds="http://schemas.openxmlformats.org/officeDocument/2006/customXml" ds:itemID="{16AD4E43-C10A-45DA-B0CE-65D503B558E5}">
  <ds:schemaRefs/>
</ds:datastoreItem>
</file>

<file path=customXml/itemProps4.xml><?xml version="1.0" encoding="utf-8"?>
<ds:datastoreItem xmlns:ds="http://schemas.openxmlformats.org/officeDocument/2006/customXml" ds:itemID="{E12D5619-BA86-4CDE-9479-E52E18D9D665}">
  <ds:schemaRefs/>
</ds:datastoreItem>
</file>

<file path=customXml/itemProps5.xml><?xml version="1.0" encoding="utf-8"?>
<ds:datastoreItem xmlns:ds="http://schemas.openxmlformats.org/officeDocument/2006/customXml" ds:itemID="{35148A2B-9F58-442F-AB27-36FFBA0606D4}">
  <ds:schemaRefs/>
</ds:datastoreItem>
</file>

<file path=customXml/itemProps6.xml><?xml version="1.0" encoding="utf-8"?>
<ds:datastoreItem xmlns:ds="http://schemas.openxmlformats.org/officeDocument/2006/customXml" ds:itemID="{3D360E5A-9A25-4118-837E-7719E6A45D0E}">
  <ds:schemaRefs/>
</ds:datastoreItem>
</file>

<file path=customXml/itemProps7.xml><?xml version="1.0" encoding="utf-8"?>
<ds:datastoreItem xmlns:ds="http://schemas.openxmlformats.org/officeDocument/2006/customXml" ds:itemID="{3D7ACA57-BC16-40E6-B81B-ADDE28B9CE70}">
  <ds:schemaRefs/>
</ds:datastoreItem>
</file>

<file path=customXml/itemProps8.xml><?xml version="1.0" encoding="utf-8"?>
<ds:datastoreItem xmlns:ds="http://schemas.openxmlformats.org/officeDocument/2006/customXml" ds:itemID="{13BECDA8-B12D-42C8-899A-F6D95D81F1BD}">
  <ds:schemaRefs/>
</ds:datastoreItem>
</file>

<file path=customXml/itemProps9.xml><?xml version="1.0" encoding="utf-8"?>
<ds:datastoreItem xmlns:ds="http://schemas.openxmlformats.org/officeDocument/2006/customXml" ds:itemID="{1071525F-949F-4963-8A2F-3354F4572891}">
  <ds:schemaRefs/>
</ds:datastoreItem>
</file>

<file path=customXml/itemProps10.xml><?xml version="1.0" encoding="utf-8"?>
<ds:datastoreItem xmlns:ds="http://schemas.openxmlformats.org/officeDocument/2006/customXml" ds:itemID="{BCD6915E-CA37-4422-BFC8-64CBD1CA8ACB}">
  <ds:schemaRefs/>
</ds:datastoreItem>
</file>

<file path=customXml/itemProps11.xml><?xml version="1.0" encoding="utf-8"?>
<ds:datastoreItem xmlns:ds="http://schemas.openxmlformats.org/officeDocument/2006/customXml" ds:itemID="{88CC774E-15BF-46E2-B64C-BB4088D8C91C}">
  <ds:schemaRefs/>
</ds:datastoreItem>
</file>

<file path=customXml/itemProps12.xml><?xml version="1.0" encoding="utf-8"?>
<ds:datastoreItem xmlns:ds="http://schemas.openxmlformats.org/officeDocument/2006/customXml" ds:itemID="{73F284C1-46B3-4522-BBE8-5B5B6E347438}">
  <ds:schemaRefs/>
</ds:datastoreItem>
</file>

<file path=customXml/itemProps13.xml><?xml version="1.0" encoding="utf-8"?>
<ds:datastoreItem xmlns:ds="http://schemas.openxmlformats.org/officeDocument/2006/customXml" ds:itemID="{E6108AB4-182C-4313-8DA6-D4E5C4ECE20E}">
  <ds:schemaRefs/>
</ds:datastoreItem>
</file>

<file path=customXml/itemProps14.xml><?xml version="1.0" encoding="utf-8"?>
<ds:datastoreItem xmlns:ds="http://schemas.openxmlformats.org/officeDocument/2006/customXml" ds:itemID="{26B43458-09FE-4D5B-B985-A0E50D8A11FE}">
  <ds:schemaRefs/>
</ds:datastoreItem>
</file>

<file path=customXml/itemProps15.xml><?xml version="1.0" encoding="utf-8"?>
<ds:datastoreItem xmlns:ds="http://schemas.openxmlformats.org/officeDocument/2006/customXml" ds:itemID="{09C63E62-C66E-47EB-B0D9-EAF44E278AE8}">
  <ds:schemaRefs/>
</ds:datastoreItem>
</file>

<file path=customXml/itemProps16.xml><?xml version="1.0" encoding="utf-8"?>
<ds:datastoreItem xmlns:ds="http://schemas.openxmlformats.org/officeDocument/2006/customXml" ds:itemID="{FA7FFB2C-CE68-4B66-BF5A-99D0CD3659FC}">
  <ds:schemaRefs/>
</ds:datastoreItem>
</file>

<file path=customXml/itemProps17.xml><?xml version="1.0" encoding="utf-8"?>
<ds:datastoreItem xmlns:ds="http://schemas.openxmlformats.org/officeDocument/2006/customXml" ds:itemID="{EF51914B-F479-466E-AF31-A4113E6A41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2026-05-26T04:11:14Z</dcterms:modified>
</cp:coreProperties>
</file>